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winchestercollege-my.sharepoint.com/personal/t_jiang25_wincoll_ac_uk/Documents/Documents/exec.exe/"/>
    </mc:Choice>
  </mc:AlternateContent>
  <xr:revisionPtr revIDLastSave="14" documentId="11_F25DC773A252ABDACC1048F3415E68265BDE58E9" xr6:coauthVersionLast="47" xr6:coauthVersionMax="47" xr10:uidLastSave="{4189CC59-665F-4737-9CEC-68DFC3DA61E7}"/>
  <bookViews>
    <workbookView xWindow="-98" yWindow="-98" windowWidth="21795" windowHeight="14595" activeTab="3" xr2:uid="{00000000-000D-0000-FFFF-FFFF00000000}"/>
  </bookViews>
  <sheets>
    <sheet name="MPI_Harrowfield_2022" sheetId="1" r:id="rId1"/>
    <sheet name="MPI_Harrowfield_2023" sheetId="2" r:id="rId2"/>
    <sheet name="MPI_Harrowfield_2024" sheetId="3" r:id="rId3"/>
    <sheet name="MPI_v2_archive_202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3" l="1"/>
  <c r="E35" i="3"/>
  <c r="F35" i="2"/>
  <c r="E35" i="2"/>
  <c r="F35" i="1"/>
  <c r="E35" i="1"/>
</calcChain>
</file>

<file path=xl/sharedStrings.xml><?xml version="1.0" encoding="utf-8"?>
<sst xmlns="http://schemas.openxmlformats.org/spreadsheetml/2006/main" count="309" uniqueCount="106">
  <si>
    <t>MPI Impact Data — Harrowfield District — 2022</t>
  </si>
  <si>
    <t>Meridian Education Group — Outcomes &amp; Impact Division — Internal Use Only</t>
  </si>
  <si>
    <t>School Name</t>
  </si>
  <si>
    <t>Cohort Size</t>
  </si>
  <si>
    <t>FSM %</t>
  </si>
  <si>
    <t>KS2 Avg Baseline</t>
  </si>
  <si>
    <t>Avg_Progress_Score</t>
  </si>
  <si>
    <t>Progress 8 Equiv.</t>
  </si>
  <si>
    <t>MPI Programme Year</t>
  </si>
  <si>
    <t>Notes</t>
  </si>
  <si>
    <t>Ashworth Academy</t>
  </si>
  <si>
    <t>Beacon Hill Secondary</t>
  </si>
  <si>
    <t>Bridgecroft School</t>
  </si>
  <si>
    <t>New coordinator appointed Sept 2022</t>
  </si>
  <si>
    <t>Carlton Vale Academy</t>
  </si>
  <si>
    <t>Dene Park High</t>
  </si>
  <si>
    <t>Elmfield Secondary</t>
  </si>
  <si>
    <t>Fairfax School</t>
  </si>
  <si>
    <t>Granby Park Academy</t>
  </si>
  <si>
    <t>Building works Q1 — some disruption to timetable</t>
  </si>
  <si>
    <t>Hartfield High</t>
  </si>
  <si>
    <t>Ingleside School</t>
  </si>
  <si>
    <t>Jubilee Academy</t>
  </si>
  <si>
    <t>Kingsmead Secondary</t>
  </si>
  <si>
    <t>Langdale High</t>
  </si>
  <si>
    <t>Marshfield Academy</t>
  </si>
  <si>
    <t>Northgate School</t>
  </si>
  <si>
    <t>Oakfield Secondary</t>
  </si>
  <si>
    <t>Peel Park Academy</t>
  </si>
  <si>
    <t>Ofsted visit March 2022</t>
  </si>
  <si>
    <t>Queensbury High</t>
  </si>
  <si>
    <t>Redbridge Academy</t>
  </si>
  <si>
    <t>St. Cuthbert's School</t>
  </si>
  <si>
    <t>Thornfield High</t>
  </si>
  <si>
    <t>Uppermill Academy</t>
  </si>
  <si>
    <t>Vale Park Secondary</t>
  </si>
  <si>
    <t>Westgate School</t>
  </si>
  <si>
    <t>Whitfield Academy</t>
  </si>
  <si>
    <t>Yewdale High</t>
  </si>
  <si>
    <t>Alderton Secondary</t>
  </si>
  <si>
    <t>Brentfield Academy</t>
  </si>
  <si>
    <t>Crossley Park School</t>
  </si>
  <si>
    <t>Daleside High</t>
  </si>
  <si>
    <t>Eastfield Academy</t>
  </si>
  <si>
    <t>Staff restructure mid-year</t>
  </si>
  <si>
    <t>Programme Average (Harrowfield District)</t>
  </si>
  <si>
    <t>MPI Impact Data — Harrowfield District — 2023</t>
  </si>
  <si>
    <t>Avg Progress Score</t>
  </si>
  <si>
    <t>Coordinator training completed Jan 2023</t>
  </si>
  <si>
    <t>SEN cohort higher than previous year</t>
  </si>
  <si>
    <t>Strong Year 11 performance — notable cohort</t>
  </si>
  <si>
    <t>MPI Impact Data — Harrowfield District — 2024</t>
  </si>
  <si>
    <t>AvgProgScore</t>
  </si>
  <si>
    <t>New headteacher appointed</t>
  </si>
  <si>
    <t>Strand 2 embedding well this year</t>
  </si>
  <si>
    <t>CPD participation above average</t>
  </si>
  <si>
    <t>MPI Programme Data — Full Dataset 2022-23 — Outcomes &amp; Impact Division</t>
  </si>
  <si>
    <t>ARCHIVE — DO NOT REFERENCE IN ACTIVE REPORTS — For internal audit use only</t>
  </si>
  <si>
    <t>LA / District</t>
  </si>
  <si>
    <t>GCSE Avg Grade</t>
  </si>
  <si>
    <t>Progress Delta</t>
  </si>
  <si>
    <t>IQS Score</t>
  </si>
  <si>
    <t>PFS Score</t>
  </si>
  <si>
    <t>compliance_flag</t>
  </si>
  <si>
    <t>Harrowfield</t>
  </si>
  <si>
    <t>compliant</t>
  </si>
  <si>
    <t>Fallow Park High</t>
  </si>
  <si>
    <t>Westshire</t>
  </si>
  <si>
    <t>non_compliant</t>
  </si>
  <si>
    <t>Coordinator in post &lt; 1 term at time of audit</t>
  </si>
  <si>
    <t>Greenford Secondary</t>
  </si>
  <si>
    <t>Northdale</t>
  </si>
  <si>
    <t>Strand 2 not implemented — formative assessment absent from review</t>
  </si>
  <si>
    <t>Holbrook Academy</t>
  </si>
  <si>
    <t>Eastbridge</t>
  </si>
  <si>
    <t>IQS below threshold; audit finding raised re programme fidelity</t>
  </si>
  <si>
    <t>Ironwood School</t>
  </si>
  <si>
    <t>Data submission incomplete; resubmission window lapsed</t>
  </si>
  <si>
    <t>Jarrow High</t>
  </si>
  <si>
    <t>Audit finding: insufficient evidence of curriculum sequencing</t>
  </si>
  <si>
    <t>Keswick Secondary</t>
  </si>
  <si>
    <t>Moorfield</t>
  </si>
  <si>
    <t>Coordinator changed twice in 18 months; training not completed</t>
  </si>
  <si>
    <t>Longfield Academy</t>
  </si>
  <si>
    <t>Leadership engagement score critically low across two cycles</t>
  </si>
  <si>
    <t>Moorside High</t>
  </si>
  <si>
    <t>IQS 33 — below minimum threshold; audit finding issued</t>
  </si>
  <si>
    <t>Northfield Secondary</t>
  </si>
  <si>
    <t>Strand 1 only partially deployed per audit evidence</t>
  </si>
  <si>
    <t>Oldfield School</t>
  </si>
  <si>
    <t>Submission within window but automated validation failed; resubmission not received</t>
  </si>
  <si>
    <t>Pennine Academy</t>
  </si>
  <si>
    <t>Audit finding: programme fidelity insufficient to generate valid outcome data</t>
  </si>
  <si>
    <t>Queensgate High</t>
  </si>
  <si>
    <t>Coordinator post vacant Q2-Q4; implementation effectively lapsed</t>
  </si>
  <si>
    <t>Ryecroft Secondary</t>
  </si>
  <si>
    <t>IQS below threshold; two consecutive years of concerns noted</t>
  </si>
  <si>
    <t>Sandfield Academy</t>
  </si>
  <si>
    <t>Strand 2 not evidenced in audit — formative records not maintained</t>
  </si>
  <si>
    <t>Towngate High</t>
  </si>
  <si>
    <t>Audit finding issued; implementation quality insufficient</t>
  </si>
  <si>
    <t>Upton Secondary</t>
  </si>
  <si>
    <t>Partial implementation confirmed; excluded pending remediation</t>
  </si>
  <si>
    <t>Compliant schools average (n=31)</t>
  </si>
  <si>
    <t>Non-compliant schools average (n=16)</t>
  </si>
  <si>
    <t>All schools average (n=47)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</si>
</sst>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C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FDF0F0"/>
      </patternFill>
    </fill>
    <fill>
      <patternFill patternType="solid">
        <fgColor rgb="FFFCE4E4"/>
      </patternFill>
    </fill>
    <fill>
      <patternFill patternType="solid">
        <fgColor rgb="FFFBE8E8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5" borderId="0" xfId="0" applyFont="1" applyFill="1"/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/>
    <xf numFmtId="0" fontId="7" fillId="7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12" borderId="1" xfId="0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activeCell="K11" sqref="K11"/>
    </sheetView>
  </sheetViews>
  <sheetFormatPr defaultRowHeight="14.25" x14ac:dyDescent="0.45"/>
  <sheetData>
    <row r="1" spans="1:8" ht="15" x14ac:dyDescent="0.4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4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4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45">
      <c r="A4" s="4" t="s">
        <v>10</v>
      </c>
      <c r="B4" s="5">
        <v>187</v>
      </c>
      <c r="C4" s="5">
        <v>22.4</v>
      </c>
      <c r="D4" s="5">
        <v>102.3</v>
      </c>
      <c r="E4" s="5">
        <v>0.61</v>
      </c>
      <c r="F4" s="5">
        <v>0.54</v>
      </c>
      <c r="G4" s="5">
        <v>3</v>
      </c>
      <c r="H4" s="5"/>
    </row>
    <row r="5" spans="1:8" x14ac:dyDescent="0.45">
      <c r="A5" s="6" t="s">
        <v>11</v>
      </c>
      <c r="B5" s="7">
        <v>214</v>
      </c>
      <c r="C5" s="7">
        <v>14.1</v>
      </c>
      <c r="D5" s="7">
        <v>105.8</v>
      </c>
      <c r="E5" s="7">
        <v>0.73</v>
      </c>
      <c r="F5" s="7">
        <v>0.67</v>
      </c>
      <c r="G5" s="7">
        <v>5</v>
      </c>
      <c r="H5" s="7"/>
    </row>
    <row r="6" spans="1:8" x14ac:dyDescent="0.45">
      <c r="A6" s="4" t="s">
        <v>12</v>
      </c>
      <c r="B6" s="5">
        <v>196</v>
      </c>
      <c r="C6" s="5">
        <v>31.7</v>
      </c>
      <c r="D6" s="5">
        <v>98.6</v>
      </c>
      <c r="E6" s="5">
        <v>0.49</v>
      </c>
      <c r="F6" s="5">
        <v>0.44</v>
      </c>
      <c r="G6" s="5">
        <v>2</v>
      </c>
      <c r="H6" s="5" t="s">
        <v>13</v>
      </c>
    </row>
    <row r="7" spans="1:8" x14ac:dyDescent="0.45">
      <c r="A7" s="6" t="s">
        <v>14</v>
      </c>
      <c r="B7" s="7">
        <v>203</v>
      </c>
      <c r="C7" s="7">
        <v>18.899999999999999</v>
      </c>
      <c r="D7" s="7">
        <v>107.2</v>
      </c>
      <c r="E7" s="7">
        <v>0.82</v>
      </c>
      <c r="F7" s="7">
        <v>0.78</v>
      </c>
      <c r="G7" s="7">
        <v>6</v>
      </c>
      <c r="H7" s="7"/>
    </row>
    <row r="8" spans="1:8" x14ac:dyDescent="0.45">
      <c r="A8" s="4" t="s">
        <v>15</v>
      </c>
      <c r="B8" s="5">
        <v>178</v>
      </c>
      <c r="C8" s="5">
        <v>28.3</v>
      </c>
      <c r="D8" s="5">
        <v>99.1</v>
      </c>
      <c r="E8" s="5">
        <v>0.53</v>
      </c>
      <c r="F8" s="5">
        <v>0.5</v>
      </c>
      <c r="G8" s="5">
        <v>3</v>
      </c>
      <c r="H8" s="5"/>
    </row>
    <row r="9" spans="1:8" x14ac:dyDescent="0.45">
      <c r="A9" s="6" t="s">
        <v>16</v>
      </c>
      <c r="B9" s="7">
        <v>221</v>
      </c>
      <c r="C9" s="7">
        <v>11.6</v>
      </c>
      <c r="D9" s="7">
        <v>109.4</v>
      </c>
      <c r="E9" s="7">
        <v>0.91</v>
      </c>
      <c r="F9" s="7">
        <v>0.84</v>
      </c>
      <c r="G9" s="7">
        <v>7</v>
      </c>
      <c r="H9" s="7"/>
    </row>
    <row r="10" spans="1:8" x14ac:dyDescent="0.45">
      <c r="A10" s="4" t="s">
        <v>17</v>
      </c>
      <c r="B10" s="5">
        <v>192</v>
      </c>
      <c r="C10" s="5">
        <v>25</v>
      </c>
      <c r="D10" s="5">
        <v>101.8</v>
      </c>
      <c r="E10" s="5">
        <v>0.57999999999999996</v>
      </c>
      <c r="F10" s="5">
        <v>0.52</v>
      </c>
      <c r="G10" s="5">
        <v>4</v>
      </c>
      <c r="H10" s="5"/>
    </row>
    <row r="11" spans="1:8" x14ac:dyDescent="0.45">
      <c r="A11" s="6" t="s">
        <v>18</v>
      </c>
      <c r="B11" s="7">
        <v>168</v>
      </c>
      <c r="C11" s="7">
        <v>34.200000000000003</v>
      </c>
      <c r="D11" s="7">
        <v>96.7</v>
      </c>
      <c r="E11" s="7">
        <v>0.45</v>
      </c>
      <c r="F11" s="7">
        <v>0.4</v>
      </c>
      <c r="G11" s="7">
        <v>2</v>
      </c>
      <c r="H11" s="7" t="s">
        <v>19</v>
      </c>
    </row>
    <row r="12" spans="1:8" x14ac:dyDescent="0.45">
      <c r="A12" s="4" t="s">
        <v>20</v>
      </c>
      <c r="B12" s="5">
        <v>245</v>
      </c>
      <c r="C12" s="5">
        <v>9.3000000000000007</v>
      </c>
      <c r="D12" s="5">
        <v>111.3</v>
      </c>
      <c r="E12" s="5">
        <v>1.04</v>
      </c>
      <c r="F12" s="5">
        <v>1</v>
      </c>
      <c r="G12" s="5">
        <v>8</v>
      </c>
      <c r="H12" s="5"/>
    </row>
    <row r="13" spans="1:8" x14ac:dyDescent="0.45">
      <c r="A13" s="6" t="s">
        <v>21</v>
      </c>
      <c r="B13" s="7">
        <v>183</v>
      </c>
      <c r="C13" s="7">
        <v>27.8</v>
      </c>
      <c r="D13" s="7">
        <v>100.4</v>
      </c>
      <c r="E13" s="7">
        <v>0.56000000000000005</v>
      </c>
      <c r="F13" s="7">
        <v>0.53</v>
      </c>
      <c r="G13" s="7">
        <v>3</v>
      </c>
      <c r="H13" s="7"/>
    </row>
    <row r="14" spans="1:8" x14ac:dyDescent="0.45">
      <c r="A14" s="4" t="s">
        <v>22</v>
      </c>
      <c r="B14" s="5">
        <v>210</v>
      </c>
      <c r="C14" s="5">
        <v>16.5</v>
      </c>
      <c r="D14" s="5">
        <v>106.1</v>
      </c>
      <c r="E14" s="5">
        <v>0.77</v>
      </c>
      <c r="F14" s="5">
        <v>0.7</v>
      </c>
      <c r="G14" s="5">
        <v>5</v>
      </c>
      <c r="H14" s="5"/>
    </row>
    <row r="15" spans="1:8" x14ac:dyDescent="0.45">
      <c r="A15" s="6" t="s">
        <v>23</v>
      </c>
      <c r="B15" s="7">
        <v>199</v>
      </c>
      <c r="C15" s="7">
        <v>23.1</v>
      </c>
      <c r="D15" s="7">
        <v>103.5</v>
      </c>
      <c r="E15" s="7">
        <v>0.64</v>
      </c>
      <c r="F15" s="7">
        <v>0.57999999999999996</v>
      </c>
      <c r="G15" s="7">
        <v>4</v>
      </c>
      <c r="H15" s="7"/>
    </row>
    <row r="16" spans="1:8" x14ac:dyDescent="0.45">
      <c r="A16" s="4" t="s">
        <v>24</v>
      </c>
      <c r="B16" s="5">
        <v>175</v>
      </c>
      <c r="C16" s="5">
        <v>30.6</v>
      </c>
      <c r="D16" s="5">
        <v>97.9</v>
      </c>
      <c r="E16" s="5">
        <v>0.48</v>
      </c>
      <c r="F16" s="5">
        <v>0.43</v>
      </c>
      <c r="G16" s="5">
        <v>2</v>
      </c>
      <c r="H16" s="5"/>
    </row>
    <row r="17" spans="1:8" x14ac:dyDescent="0.45">
      <c r="A17" s="6" t="s">
        <v>25</v>
      </c>
      <c r="B17" s="7">
        <v>228</v>
      </c>
      <c r="C17" s="7">
        <v>12.8</v>
      </c>
      <c r="D17" s="7">
        <v>108.7</v>
      </c>
      <c r="E17" s="7">
        <v>0.88</v>
      </c>
      <c r="F17" s="7">
        <v>0.84</v>
      </c>
      <c r="G17" s="7">
        <v>6</v>
      </c>
      <c r="H17" s="7"/>
    </row>
    <row r="18" spans="1:8" x14ac:dyDescent="0.45">
      <c r="A18" s="4" t="s">
        <v>26</v>
      </c>
      <c r="B18" s="5">
        <v>191</v>
      </c>
      <c r="C18" s="5">
        <v>24.4</v>
      </c>
      <c r="D18" s="5">
        <v>102</v>
      </c>
      <c r="E18" s="5">
        <v>0.6</v>
      </c>
      <c r="F18" s="5">
        <v>0.56999999999999995</v>
      </c>
      <c r="G18" s="5">
        <v>4</v>
      </c>
      <c r="H18" s="5"/>
    </row>
    <row r="19" spans="1:8" x14ac:dyDescent="0.45">
      <c r="A19" s="6" t="s">
        <v>27</v>
      </c>
      <c r="B19" s="7">
        <v>207</v>
      </c>
      <c r="C19" s="7">
        <v>19.7</v>
      </c>
      <c r="D19" s="7">
        <v>104.9</v>
      </c>
      <c r="E19" s="7">
        <v>0.71</v>
      </c>
      <c r="F19" s="7">
        <v>0.64</v>
      </c>
      <c r="G19" s="7">
        <v>5</v>
      </c>
      <c r="H19" s="7"/>
    </row>
    <row r="20" spans="1:8" x14ac:dyDescent="0.45">
      <c r="A20" s="4" t="s">
        <v>28</v>
      </c>
      <c r="B20" s="5">
        <v>163</v>
      </c>
      <c r="C20" s="5">
        <v>37.1</v>
      </c>
      <c r="D20" s="5">
        <v>94.8</v>
      </c>
      <c r="E20" s="5">
        <v>0.46</v>
      </c>
      <c r="F20" s="5">
        <v>0.4</v>
      </c>
      <c r="G20" s="5">
        <v>2</v>
      </c>
      <c r="H20" s="5" t="s">
        <v>29</v>
      </c>
    </row>
    <row r="21" spans="1:8" x14ac:dyDescent="0.45">
      <c r="A21" s="6" t="s">
        <v>30</v>
      </c>
      <c r="B21" s="7">
        <v>236</v>
      </c>
      <c r="C21" s="7">
        <v>8.4</v>
      </c>
      <c r="D21" s="7">
        <v>112.6</v>
      </c>
      <c r="E21" s="7">
        <v>0.97</v>
      </c>
      <c r="F21" s="7">
        <v>0.92</v>
      </c>
      <c r="G21" s="7">
        <v>7</v>
      </c>
      <c r="H21" s="7"/>
    </row>
    <row r="22" spans="1:8" x14ac:dyDescent="0.45">
      <c r="A22" s="4" t="s">
        <v>31</v>
      </c>
      <c r="B22" s="5">
        <v>188</v>
      </c>
      <c r="C22" s="5">
        <v>26.2</v>
      </c>
      <c r="D22" s="5">
        <v>101.1</v>
      </c>
      <c r="E22" s="5">
        <v>0.54</v>
      </c>
      <c r="F22" s="5">
        <v>0.5</v>
      </c>
      <c r="G22" s="5">
        <v>3</v>
      </c>
      <c r="H22" s="5"/>
    </row>
    <row r="23" spans="1:8" x14ac:dyDescent="0.45">
      <c r="A23" s="6" t="s">
        <v>32</v>
      </c>
      <c r="B23" s="7">
        <v>215</v>
      </c>
      <c r="C23" s="7">
        <v>15.3</v>
      </c>
      <c r="D23" s="7">
        <v>106.8</v>
      </c>
      <c r="E23" s="7">
        <v>0.8</v>
      </c>
      <c r="F23" s="7">
        <v>0.77</v>
      </c>
      <c r="G23" s="7">
        <v>6</v>
      </c>
      <c r="H23" s="7"/>
    </row>
    <row r="24" spans="1:8" x14ac:dyDescent="0.45">
      <c r="A24" s="4" t="s">
        <v>33</v>
      </c>
      <c r="B24" s="5">
        <v>172</v>
      </c>
      <c r="C24" s="5">
        <v>32.9</v>
      </c>
      <c r="D24" s="5">
        <v>97.3</v>
      </c>
      <c r="E24" s="5">
        <v>0.47</v>
      </c>
      <c r="F24" s="5">
        <v>0.4</v>
      </c>
      <c r="G24" s="5">
        <v>2</v>
      </c>
      <c r="H24" s="5"/>
    </row>
    <row r="25" spans="1:8" x14ac:dyDescent="0.45">
      <c r="A25" s="6" t="s">
        <v>34</v>
      </c>
      <c r="B25" s="7">
        <v>204</v>
      </c>
      <c r="C25" s="7">
        <v>20.5</v>
      </c>
      <c r="D25" s="7">
        <v>104.2</v>
      </c>
      <c r="E25" s="7">
        <v>0.69</v>
      </c>
      <c r="F25" s="7">
        <v>0.63</v>
      </c>
      <c r="G25" s="7">
        <v>5</v>
      </c>
      <c r="H25" s="7"/>
    </row>
    <row r="26" spans="1:8" x14ac:dyDescent="0.45">
      <c r="A26" s="4" t="s">
        <v>35</v>
      </c>
      <c r="B26" s="5">
        <v>193</v>
      </c>
      <c r="C26" s="5">
        <v>23.8</v>
      </c>
      <c r="D26" s="5">
        <v>102.7</v>
      </c>
      <c r="E26" s="5">
        <v>0.62</v>
      </c>
      <c r="F26" s="5">
        <v>0.56999999999999995</v>
      </c>
      <c r="G26" s="5">
        <v>4</v>
      </c>
      <c r="H26" s="5"/>
    </row>
    <row r="27" spans="1:8" x14ac:dyDescent="0.45">
      <c r="A27" s="6" t="s">
        <v>36</v>
      </c>
      <c r="B27" s="7">
        <v>219</v>
      </c>
      <c r="C27" s="7">
        <v>13.4</v>
      </c>
      <c r="D27" s="7">
        <v>107.9</v>
      </c>
      <c r="E27" s="7">
        <v>0.85</v>
      </c>
      <c r="F27" s="7">
        <v>0.81</v>
      </c>
      <c r="G27" s="7">
        <v>6</v>
      </c>
      <c r="H27" s="7"/>
    </row>
    <row r="28" spans="1:8" x14ac:dyDescent="0.45">
      <c r="A28" s="4" t="s">
        <v>37</v>
      </c>
      <c r="B28" s="5">
        <v>181</v>
      </c>
      <c r="C28" s="5">
        <v>29.1</v>
      </c>
      <c r="D28" s="5">
        <v>100</v>
      </c>
      <c r="E28" s="5">
        <v>0.55000000000000004</v>
      </c>
      <c r="F28" s="5">
        <v>0.52</v>
      </c>
      <c r="G28" s="5">
        <v>3</v>
      </c>
      <c r="H28" s="5"/>
    </row>
    <row r="29" spans="1:8" x14ac:dyDescent="0.45">
      <c r="A29" s="6" t="s">
        <v>38</v>
      </c>
      <c r="B29" s="7">
        <v>247</v>
      </c>
      <c r="C29" s="7">
        <v>7.9</v>
      </c>
      <c r="D29" s="7">
        <v>113.1</v>
      </c>
      <c r="E29" s="7">
        <v>1.07</v>
      </c>
      <c r="F29" s="7">
        <v>1</v>
      </c>
      <c r="G29" s="7">
        <v>8</v>
      </c>
      <c r="H29" s="7"/>
    </row>
    <row r="30" spans="1:8" x14ac:dyDescent="0.45">
      <c r="A30" s="4" t="s">
        <v>39</v>
      </c>
      <c r="B30" s="5">
        <v>176</v>
      </c>
      <c r="C30" s="5">
        <v>31.3</v>
      </c>
      <c r="D30" s="5">
        <v>98.2</v>
      </c>
      <c r="E30" s="5">
        <v>0.5</v>
      </c>
      <c r="F30" s="5">
        <v>0.44</v>
      </c>
      <c r="G30" s="5">
        <v>2</v>
      </c>
      <c r="H30" s="5"/>
    </row>
    <row r="31" spans="1:8" x14ac:dyDescent="0.45">
      <c r="A31" s="6" t="s">
        <v>40</v>
      </c>
      <c r="B31" s="7">
        <v>208</v>
      </c>
      <c r="C31" s="7">
        <v>17.600000000000001</v>
      </c>
      <c r="D31" s="7">
        <v>105.4</v>
      </c>
      <c r="E31" s="7">
        <v>0.75</v>
      </c>
      <c r="F31" s="7">
        <v>0.7</v>
      </c>
      <c r="G31" s="7">
        <v>5</v>
      </c>
      <c r="H31" s="7"/>
    </row>
    <row r="32" spans="1:8" x14ac:dyDescent="0.45">
      <c r="A32" s="4" t="s">
        <v>41</v>
      </c>
      <c r="B32" s="5">
        <v>195</v>
      </c>
      <c r="C32" s="5">
        <v>24.7</v>
      </c>
      <c r="D32" s="5">
        <v>103.1</v>
      </c>
      <c r="E32" s="5">
        <v>0.63</v>
      </c>
      <c r="F32" s="5">
        <v>0.59</v>
      </c>
      <c r="G32" s="5">
        <v>4</v>
      </c>
      <c r="H32" s="5"/>
    </row>
    <row r="33" spans="1:8" x14ac:dyDescent="0.45">
      <c r="A33" s="6" t="s">
        <v>42</v>
      </c>
      <c r="B33" s="7">
        <v>232</v>
      </c>
      <c r="C33" s="7">
        <v>10.199999999999999</v>
      </c>
      <c r="D33" s="7">
        <v>110.5</v>
      </c>
      <c r="E33" s="7">
        <v>0.93</v>
      </c>
      <c r="F33" s="7">
        <v>0.9</v>
      </c>
      <c r="G33" s="7">
        <v>7</v>
      </c>
      <c r="H33" s="7"/>
    </row>
    <row r="34" spans="1:8" x14ac:dyDescent="0.45">
      <c r="A34" s="4" t="s">
        <v>43</v>
      </c>
      <c r="B34" s="5">
        <v>185</v>
      </c>
      <c r="C34" s="5">
        <v>27</v>
      </c>
      <c r="D34" s="5">
        <v>101.5</v>
      </c>
      <c r="E34" s="5">
        <v>0.56999999999999995</v>
      </c>
      <c r="F34" s="5">
        <v>0.5</v>
      </c>
      <c r="G34" s="5">
        <v>3</v>
      </c>
      <c r="H34" s="5" t="s">
        <v>44</v>
      </c>
    </row>
    <row r="35" spans="1:8" x14ac:dyDescent="0.45">
      <c r="A35" s="8" t="s">
        <v>45</v>
      </c>
      <c r="B35" s="8"/>
      <c r="C35" s="8"/>
      <c r="D35" s="8"/>
      <c r="E35" s="9">
        <f>AVERAGE(E4:E34)</f>
        <v>0.68387096774193556</v>
      </c>
      <c r="F35" s="9">
        <f>AVERAGE(F4:F34)</f>
        <v>0.63322580645161286</v>
      </c>
    </row>
  </sheetData>
  <mergeCells count="3">
    <mergeCell ref="A1:H1"/>
    <mergeCell ref="A2:H2"/>
    <mergeCell ref="A35:D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F11F-C59F-4573-BF6A-EFBB087A1CC7}">
  <dimension ref="A1:H35"/>
  <sheetViews>
    <sheetView workbookViewId="0">
      <selection activeCell="G13" sqref="G13"/>
    </sheetView>
  </sheetViews>
  <sheetFormatPr defaultRowHeight="14.25" x14ac:dyDescent="0.45"/>
  <sheetData>
    <row r="1" spans="1:8" ht="15" x14ac:dyDescent="0.45">
      <c r="A1" s="10" t="s">
        <v>46</v>
      </c>
      <c r="B1" s="11"/>
      <c r="C1" s="11"/>
      <c r="D1" s="11"/>
      <c r="E1" s="11"/>
      <c r="F1" s="11"/>
      <c r="G1" s="11"/>
      <c r="H1" s="11"/>
    </row>
    <row r="2" spans="1:8" x14ac:dyDescent="0.45">
      <c r="A2" s="12" t="s">
        <v>1</v>
      </c>
      <c r="B2" s="11"/>
      <c r="C2" s="11"/>
      <c r="D2" s="11"/>
      <c r="E2" s="11"/>
      <c r="F2" s="11"/>
      <c r="G2" s="11"/>
      <c r="H2" s="11"/>
    </row>
    <row r="3" spans="1:8" x14ac:dyDescent="0.45">
      <c r="A3" s="13" t="s">
        <v>2</v>
      </c>
      <c r="B3" s="13" t="s">
        <v>3</v>
      </c>
      <c r="C3" s="13" t="s">
        <v>4</v>
      </c>
      <c r="D3" s="13" t="s">
        <v>5</v>
      </c>
      <c r="E3" s="13" t="s">
        <v>47</v>
      </c>
      <c r="F3" s="13" t="s">
        <v>7</v>
      </c>
      <c r="G3" s="13" t="s">
        <v>8</v>
      </c>
      <c r="H3" s="13" t="s">
        <v>9</v>
      </c>
    </row>
    <row r="4" spans="1:8" x14ac:dyDescent="0.45">
      <c r="A4" s="14" t="s">
        <v>10</v>
      </c>
      <c r="B4" s="15">
        <v>187</v>
      </c>
      <c r="C4" s="15">
        <v>22.4</v>
      </c>
      <c r="D4" s="15">
        <v>102.3</v>
      </c>
      <c r="E4" s="15">
        <v>0.64</v>
      </c>
      <c r="F4" s="15">
        <v>0.56999999999999995</v>
      </c>
      <c r="G4" s="15">
        <v>4</v>
      </c>
      <c r="H4" s="15"/>
    </row>
    <row r="5" spans="1:8" x14ac:dyDescent="0.45">
      <c r="A5" s="16" t="s">
        <v>11</v>
      </c>
      <c r="B5" s="17">
        <v>214</v>
      </c>
      <c r="C5" s="17">
        <v>14.1</v>
      </c>
      <c r="D5" s="17">
        <v>105.8</v>
      </c>
      <c r="E5" s="17">
        <v>0.75</v>
      </c>
      <c r="F5" s="17">
        <v>0.69</v>
      </c>
      <c r="G5" s="17">
        <v>6</v>
      </c>
      <c r="H5" s="17"/>
    </row>
    <row r="6" spans="1:8" x14ac:dyDescent="0.45">
      <c r="A6" s="14" t="s">
        <v>12</v>
      </c>
      <c r="B6" s="15">
        <v>196</v>
      </c>
      <c r="C6" s="15">
        <v>31.7</v>
      </c>
      <c r="D6" s="15">
        <v>98.6</v>
      </c>
      <c r="E6" s="15">
        <v>0.52</v>
      </c>
      <c r="F6" s="15">
        <v>0.47</v>
      </c>
      <c r="G6" s="15">
        <v>3</v>
      </c>
      <c r="H6" s="15"/>
    </row>
    <row r="7" spans="1:8" x14ac:dyDescent="0.45">
      <c r="A7" s="16" t="s">
        <v>14</v>
      </c>
      <c r="B7" s="17">
        <v>203</v>
      </c>
      <c r="C7" s="17">
        <v>18.899999999999999</v>
      </c>
      <c r="D7" s="17">
        <v>107.2</v>
      </c>
      <c r="E7" s="17">
        <v>0.84</v>
      </c>
      <c r="F7" s="17">
        <v>0.8</v>
      </c>
      <c r="G7" s="17">
        <v>7</v>
      </c>
      <c r="H7" s="17"/>
    </row>
    <row r="8" spans="1:8" x14ac:dyDescent="0.45">
      <c r="A8" s="14" t="s">
        <v>15</v>
      </c>
      <c r="B8" s="15">
        <v>178</v>
      </c>
      <c r="C8" s="15">
        <v>28.3</v>
      </c>
      <c r="D8" s="15">
        <v>99.1</v>
      </c>
      <c r="E8" s="15">
        <v>0.55000000000000004</v>
      </c>
      <c r="F8" s="15">
        <v>0.52</v>
      </c>
      <c r="G8" s="15">
        <v>4</v>
      </c>
      <c r="H8" s="15" t="s">
        <v>48</v>
      </c>
    </row>
    <row r="9" spans="1:8" x14ac:dyDescent="0.45">
      <c r="A9" s="16" t="s">
        <v>16</v>
      </c>
      <c r="B9" s="17">
        <v>221</v>
      </c>
      <c r="C9" s="17">
        <v>11.6</v>
      </c>
      <c r="D9" s="17">
        <v>109.4</v>
      </c>
      <c r="E9" s="17">
        <v>0.93</v>
      </c>
      <c r="F9" s="17">
        <v>0.86</v>
      </c>
      <c r="G9" s="17">
        <v>8</v>
      </c>
      <c r="H9" s="17"/>
    </row>
    <row r="10" spans="1:8" x14ac:dyDescent="0.45">
      <c r="A10" s="14" t="s">
        <v>17</v>
      </c>
      <c r="B10" s="15">
        <v>192</v>
      </c>
      <c r="C10" s="15">
        <v>25</v>
      </c>
      <c r="D10" s="15">
        <v>101.8</v>
      </c>
      <c r="E10" s="15">
        <v>0.61</v>
      </c>
      <c r="F10" s="15">
        <v>0.55000000000000004</v>
      </c>
      <c r="G10" s="15">
        <v>5</v>
      </c>
      <c r="H10" s="15"/>
    </row>
    <row r="11" spans="1:8" x14ac:dyDescent="0.45">
      <c r="A11" s="16" t="s">
        <v>18</v>
      </c>
      <c r="B11" s="17">
        <v>168</v>
      </c>
      <c r="C11" s="17">
        <v>34.200000000000003</v>
      </c>
      <c r="D11" s="17">
        <v>96.7</v>
      </c>
      <c r="E11" s="17">
        <v>0.47</v>
      </c>
      <c r="F11" s="17">
        <v>0.42</v>
      </c>
      <c r="G11" s="17">
        <v>3</v>
      </c>
      <c r="H11" s="17"/>
    </row>
    <row r="12" spans="1:8" x14ac:dyDescent="0.45">
      <c r="A12" s="14" t="s">
        <v>20</v>
      </c>
      <c r="B12" s="15">
        <v>245</v>
      </c>
      <c r="C12" s="15">
        <v>9.3000000000000007</v>
      </c>
      <c r="D12" s="15">
        <v>111.3</v>
      </c>
      <c r="E12" s="15">
        <v>1.06</v>
      </c>
      <c r="F12" s="15">
        <v>1.02</v>
      </c>
      <c r="G12" s="15">
        <v>9</v>
      </c>
      <c r="H12" s="15"/>
    </row>
    <row r="13" spans="1:8" x14ac:dyDescent="0.45">
      <c r="A13" s="16" t="s">
        <v>21</v>
      </c>
      <c r="B13" s="17">
        <v>183</v>
      </c>
      <c r="C13" s="17">
        <v>27.8</v>
      </c>
      <c r="D13" s="17">
        <v>100.4</v>
      </c>
      <c r="E13" s="17">
        <v>0.59</v>
      </c>
      <c r="F13" s="17">
        <v>0.56000000000000005</v>
      </c>
      <c r="G13" s="17">
        <v>4</v>
      </c>
      <c r="H13" s="17"/>
    </row>
    <row r="14" spans="1:8" x14ac:dyDescent="0.45">
      <c r="A14" s="14" t="s">
        <v>22</v>
      </c>
      <c r="B14" s="15">
        <v>210</v>
      </c>
      <c r="C14" s="15">
        <v>16.5</v>
      </c>
      <c r="D14" s="15">
        <v>106.1</v>
      </c>
      <c r="E14" s="15">
        <v>0.79</v>
      </c>
      <c r="F14" s="15">
        <v>0.72</v>
      </c>
      <c r="G14" s="15">
        <v>6</v>
      </c>
      <c r="H14" s="15"/>
    </row>
    <row r="15" spans="1:8" x14ac:dyDescent="0.45">
      <c r="A15" s="16" t="s">
        <v>23</v>
      </c>
      <c r="B15" s="17">
        <v>199</v>
      </c>
      <c r="C15" s="17">
        <v>23.1</v>
      </c>
      <c r="D15" s="17">
        <v>103.5</v>
      </c>
      <c r="E15" s="17">
        <v>0.66</v>
      </c>
      <c r="F15" s="17">
        <v>0.6</v>
      </c>
      <c r="G15" s="17">
        <v>5</v>
      </c>
      <c r="H15" s="17"/>
    </row>
    <row r="16" spans="1:8" x14ac:dyDescent="0.45">
      <c r="A16" s="14" t="s">
        <v>24</v>
      </c>
      <c r="B16" s="15">
        <v>175</v>
      </c>
      <c r="C16" s="15">
        <v>30.6</v>
      </c>
      <c r="D16" s="15">
        <v>97.9</v>
      </c>
      <c r="E16" s="15">
        <v>0.51</v>
      </c>
      <c r="F16" s="15">
        <v>0.46</v>
      </c>
      <c r="G16" s="15">
        <v>3</v>
      </c>
      <c r="H16" s="15" t="s">
        <v>49</v>
      </c>
    </row>
    <row r="17" spans="1:8" x14ac:dyDescent="0.45">
      <c r="A17" s="16" t="s">
        <v>25</v>
      </c>
      <c r="B17" s="17">
        <v>228</v>
      </c>
      <c r="C17" s="17">
        <v>12.8</v>
      </c>
      <c r="D17" s="17">
        <v>108.7</v>
      </c>
      <c r="E17" s="17">
        <v>0.9</v>
      </c>
      <c r="F17" s="17">
        <v>0.86</v>
      </c>
      <c r="G17" s="17">
        <v>7</v>
      </c>
      <c r="H17" s="17"/>
    </row>
    <row r="18" spans="1:8" x14ac:dyDescent="0.45">
      <c r="A18" s="14" t="s">
        <v>26</v>
      </c>
      <c r="B18" s="15">
        <v>191</v>
      </c>
      <c r="C18" s="15">
        <v>24.4</v>
      </c>
      <c r="D18" s="15">
        <v>102</v>
      </c>
      <c r="E18" s="15">
        <v>0.62</v>
      </c>
      <c r="F18" s="15">
        <v>0.59</v>
      </c>
      <c r="G18" s="15">
        <v>5</v>
      </c>
      <c r="H18" s="15"/>
    </row>
    <row r="19" spans="1:8" x14ac:dyDescent="0.45">
      <c r="A19" s="16" t="s">
        <v>27</v>
      </c>
      <c r="B19" s="17">
        <v>207</v>
      </c>
      <c r="C19" s="17">
        <v>19.7</v>
      </c>
      <c r="D19" s="17">
        <v>104.9</v>
      </c>
      <c r="E19" s="17">
        <v>0.73</v>
      </c>
      <c r="F19" s="17">
        <v>0.66</v>
      </c>
      <c r="G19" s="17">
        <v>6</v>
      </c>
      <c r="H19" s="17"/>
    </row>
    <row r="20" spans="1:8" x14ac:dyDescent="0.45">
      <c r="A20" s="14" t="s">
        <v>28</v>
      </c>
      <c r="B20" s="15">
        <v>163</v>
      </c>
      <c r="C20" s="15">
        <v>37.1</v>
      </c>
      <c r="D20" s="15">
        <v>94.8</v>
      </c>
      <c r="E20" s="15">
        <v>0.48</v>
      </c>
      <c r="F20" s="15">
        <v>0.42</v>
      </c>
      <c r="G20" s="15">
        <v>3</v>
      </c>
      <c r="H20" s="15"/>
    </row>
    <row r="21" spans="1:8" x14ac:dyDescent="0.45">
      <c r="A21" s="16" t="s">
        <v>30</v>
      </c>
      <c r="B21" s="17">
        <v>236</v>
      </c>
      <c r="C21" s="17">
        <v>8.4</v>
      </c>
      <c r="D21" s="17">
        <v>112.6</v>
      </c>
      <c r="E21" s="17">
        <v>0.99</v>
      </c>
      <c r="F21" s="17">
        <v>0.94</v>
      </c>
      <c r="G21" s="17">
        <v>8</v>
      </c>
      <c r="H21" s="17"/>
    </row>
    <row r="22" spans="1:8" x14ac:dyDescent="0.45">
      <c r="A22" s="14" t="s">
        <v>31</v>
      </c>
      <c r="B22" s="15">
        <v>188</v>
      </c>
      <c r="C22" s="15">
        <v>26.2</v>
      </c>
      <c r="D22" s="15">
        <v>101.1</v>
      </c>
      <c r="E22" s="15">
        <v>0.56999999999999995</v>
      </c>
      <c r="F22" s="15">
        <v>0.53</v>
      </c>
      <c r="G22" s="15">
        <v>4</v>
      </c>
      <c r="H22" s="15"/>
    </row>
    <row r="23" spans="1:8" x14ac:dyDescent="0.45">
      <c r="A23" s="16" t="s">
        <v>32</v>
      </c>
      <c r="B23" s="17">
        <v>215</v>
      </c>
      <c r="C23" s="17">
        <v>15.3</v>
      </c>
      <c r="D23" s="17">
        <v>106.8</v>
      </c>
      <c r="E23" s="17">
        <v>0.82</v>
      </c>
      <c r="F23" s="17">
        <v>0.79</v>
      </c>
      <c r="G23" s="17">
        <v>7</v>
      </c>
      <c r="H23" s="17"/>
    </row>
    <row r="24" spans="1:8" x14ac:dyDescent="0.45">
      <c r="A24" s="14" t="s">
        <v>33</v>
      </c>
      <c r="B24" s="15">
        <v>172</v>
      </c>
      <c r="C24" s="15">
        <v>32.9</v>
      </c>
      <c r="D24" s="15">
        <v>97.3</v>
      </c>
      <c r="E24" s="15">
        <v>0.5</v>
      </c>
      <c r="F24" s="15">
        <v>0.43</v>
      </c>
      <c r="G24" s="15">
        <v>3</v>
      </c>
      <c r="H24" s="15" t="s">
        <v>50</v>
      </c>
    </row>
    <row r="25" spans="1:8" x14ac:dyDescent="0.45">
      <c r="A25" s="16" t="s">
        <v>34</v>
      </c>
      <c r="B25" s="17">
        <v>204</v>
      </c>
      <c r="C25" s="17">
        <v>20.5</v>
      </c>
      <c r="D25" s="17">
        <v>104.2</v>
      </c>
      <c r="E25" s="17">
        <v>0.71</v>
      </c>
      <c r="F25" s="17">
        <v>0.65</v>
      </c>
      <c r="G25" s="17">
        <v>6</v>
      </c>
      <c r="H25" s="17"/>
    </row>
    <row r="26" spans="1:8" x14ac:dyDescent="0.45">
      <c r="A26" s="14" t="s">
        <v>35</v>
      </c>
      <c r="B26" s="15">
        <v>193</v>
      </c>
      <c r="C26" s="15">
        <v>23.8</v>
      </c>
      <c r="D26" s="15">
        <v>102.7</v>
      </c>
      <c r="E26" s="15">
        <v>0.64</v>
      </c>
      <c r="F26" s="15">
        <v>0.59</v>
      </c>
      <c r="G26" s="15">
        <v>5</v>
      </c>
      <c r="H26" s="15"/>
    </row>
    <row r="27" spans="1:8" x14ac:dyDescent="0.45">
      <c r="A27" s="16" t="s">
        <v>36</v>
      </c>
      <c r="B27" s="17">
        <v>219</v>
      </c>
      <c r="C27" s="17">
        <v>13.4</v>
      </c>
      <c r="D27" s="17">
        <v>107.9</v>
      </c>
      <c r="E27" s="17">
        <v>0.87</v>
      </c>
      <c r="F27" s="17">
        <v>0.83</v>
      </c>
      <c r="G27" s="17">
        <v>7</v>
      </c>
      <c r="H27" s="17"/>
    </row>
    <row r="28" spans="1:8" x14ac:dyDescent="0.45">
      <c r="A28" s="14" t="s">
        <v>37</v>
      </c>
      <c r="B28" s="15">
        <v>181</v>
      </c>
      <c r="C28" s="15">
        <v>29.1</v>
      </c>
      <c r="D28" s="15">
        <v>100</v>
      </c>
      <c r="E28" s="15">
        <v>0.57999999999999996</v>
      </c>
      <c r="F28" s="15">
        <v>0.55000000000000004</v>
      </c>
      <c r="G28" s="15">
        <v>4</v>
      </c>
      <c r="H28" s="15"/>
    </row>
    <row r="29" spans="1:8" x14ac:dyDescent="0.45">
      <c r="A29" s="16" t="s">
        <v>38</v>
      </c>
      <c r="B29" s="17">
        <v>247</v>
      </c>
      <c r="C29" s="17">
        <v>7.9</v>
      </c>
      <c r="D29" s="17">
        <v>113.1</v>
      </c>
      <c r="E29" s="17">
        <v>1.0900000000000001</v>
      </c>
      <c r="F29" s="17">
        <v>1.02</v>
      </c>
      <c r="G29" s="17">
        <v>9</v>
      </c>
      <c r="H29" s="17"/>
    </row>
    <row r="30" spans="1:8" x14ac:dyDescent="0.45">
      <c r="A30" s="14" t="s">
        <v>39</v>
      </c>
      <c r="B30" s="15">
        <v>176</v>
      </c>
      <c r="C30" s="15">
        <v>31.3</v>
      </c>
      <c r="D30" s="15">
        <v>98.2</v>
      </c>
      <c r="E30" s="15">
        <v>0.52</v>
      </c>
      <c r="F30" s="15">
        <v>0.46</v>
      </c>
      <c r="G30" s="15">
        <v>3</v>
      </c>
      <c r="H30" s="15"/>
    </row>
    <row r="31" spans="1:8" x14ac:dyDescent="0.45">
      <c r="A31" s="16" t="s">
        <v>40</v>
      </c>
      <c r="B31" s="17">
        <v>208</v>
      </c>
      <c r="C31" s="17">
        <v>17.600000000000001</v>
      </c>
      <c r="D31" s="17">
        <v>105.4</v>
      </c>
      <c r="E31" s="17">
        <v>0.77</v>
      </c>
      <c r="F31" s="17">
        <v>0.72</v>
      </c>
      <c r="G31" s="17">
        <v>6</v>
      </c>
      <c r="H31" s="17"/>
    </row>
    <row r="32" spans="1:8" x14ac:dyDescent="0.45">
      <c r="A32" s="14" t="s">
        <v>41</v>
      </c>
      <c r="B32" s="15">
        <v>195</v>
      </c>
      <c r="C32" s="15">
        <v>24.7</v>
      </c>
      <c r="D32" s="15">
        <v>103.1</v>
      </c>
      <c r="E32" s="15">
        <v>0.65</v>
      </c>
      <c r="F32" s="15">
        <v>0.61</v>
      </c>
      <c r="G32" s="15">
        <v>5</v>
      </c>
      <c r="H32" s="15"/>
    </row>
    <row r="33" spans="1:8" x14ac:dyDescent="0.45">
      <c r="A33" s="16" t="s">
        <v>42</v>
      </c>
      <c r="B33" s="17">
        <v>232</v>
      </c>
      <c r="C33" s="17">
        <v>10.199999999999999</v>
      </c>
      <c r="D33" s="17">
        <v>110.5</v>
      </c>
      <c r="E33" s="17">
        <v>0.95</v>
      </c>
      <c r="F33" s="17">
        <v>0.92</v>
      </c>
      <c r="G33" s="17">
        <v>8</v>
      </c>
      <c r="H33" s="17"/>
    </row>
    <row r="34" spans="1:8" x14ac:dyDescent="0.45">
      <c r="A34" s="14" t="s">
        <v>43</v>
      </c>
      <c r="B34" s="15">
        <v>185</v>
      </c>
      <c r="C34" s="15">
        <v>27</v>
      </c>
      <c r="D34" s="15">
        <v>101.5</v>
      </c>
      <c r="E34" s="15">
        <v>0.6</v>
      </c>
      <c r="F34" s="15">
        <v>0.53</v>
      </c>
      <c r="G34" s="15">
        <v>4</v>
      </c>
      <c r="H34" s="15"/>
    </row>
    <row r="35" spans="1:8" x14ac:dyDescent="0.45">
      <c r="A35" s="18" t="s">
        <v>45</v>
      </c>
      <c r="B35" s="11"/>
      <c r="C35" s="11"/>
      <c r="D35" s="11"/>
      <c r="E35" s="19">
        <f>AVERAGE(E4:E34)</f>
        <v>0.706774193548387</v>
      </c>
      <c r="F35" s="19">
        <f>AVERAGE(F4:F34)</f>
        <v>0.65612903225806452</v>
      </c>
    </row>
  </sheetData>
  <mergeCells count="3">
    <mergeCell ref="A1:H1"/>
    <mergeCell ref="A2:H2"/>
    <mergeCell ref="A35:D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D82C-FEEB-476C-96EC-B6532DC3C110}">
  <dimension ref="A1:H35"/>
  <sheetViews>
    <sheetView topLeftCell="A19" workbookViewId="0">
      <selection activeCell="J11" sqref="J11"/>
    </sheetView>
  </sheetViews>
  <sheetFormatPr defaultRowHeight="14.25" x14ac:dyDescent="0.45"/>
  <sheetData>
    <row r="1" spans="1:8" ht="15" x14ac:dyDescent="0.45">
      <c r="A1" s="10" t="s">
        <v>51</v>
      </c>
      <c r="B1" s="11"/>
      <c r="C1" s="11"/>
      <c r="D1" s="11"/>
      <c r="E1" s="11"/>
      <c r="F1" s="11"/>
      <c r="G1" s="11"/>
      <c r="H1" s="11"/>
    </row>
    <row r="2" spans="1:8" x14ac:dyDescent="0.45">
      <c r="A2" s="12" t="s">
        <v>1</v>
      </c>
      <c r="B2" s="11"/>
      <c r="C2" s="11"/>
      <c r="D2" s="11"/>
      <c r="E2" s="11"/>
      <c r="F2" s="11"/>
      <c r="G2" s="11"/>
      <c r="H2" s="11"/>
    </row>
    <row r="3" spans="1:8" x14ac:dyDescent="0.45">
      <c r="A3" s="13" t="s">
        <v>2</v>
      </c>
      <c r="B3" s="13" t="s">
        <v>3</v>
      </c>
      <c r="C3" s="13" t="s">
        <v>4</v>
      </c>
      <c r="D3" s="13" t="s">
        <v>5</v>
      </c>
      <c r="E3" s="13" t="s">
        <v>52</v>
      </c>
      <c r="F3" s="13" t="s">
        <v>7</v>
      </c>
      <c r="G3" s="13" t="s">
        <v>8</v>
      </c>
      <c r="H3" s="13" t="s">
        <v>9</v>
      </c>
    </row>
    <row r="4" spans="1:8" x14ac:dyDescent="0.45">
      <c r="A4" s="14" t="s">
        <v>10</v>
      </c>
      <c r="B4" s="15">
        <v>187</v>
      </c>
      <c r="C4" s="15">
        <v>22.4</v>
      </c>
      <c r="D4" s="15">
        <v>102.3</v>
      </c>
      <c r="E4" s="15">
        <v>0.67</v>
      </c>
      <c r="F4" s="15">
        <v>0.6</v>
      </c>
      <c r="G4" s="15">
        <v>5</v>
      </c>
      <c r="H4" s="15"/>
    </row>
    <row r="5" spans="1:8" x14ac:dyDescent="0.45">
      <c r="A5" s="16" t="s">
        <v>11</v>
      </c>
      <c r="B5" s="17">
        <v>214</v>
      </c>
      <c r="C5" s="17">
        <v>14.1</v>
      </c>
      <c r="D5" s="17">
        <v>105.8</v>
      </c>
      <c r="E5" s="17">
        <v>0.78</v>
      </c>
      <c r="F5" s="17">
        <v>0.72</v>
      </c>
      <c r="G5" s="17">
        <v>7</v>
      </c>
      <c r="H5" s="17" t="s">
        <v>53</v>
      </c>
    </row>
    <row r="6" spans="1:8" x14ac:dyDescent="0.45">
      <c r="A6" s="14" t="s">
        <v>12</v>
      </c>
      <c r="B6" s="15">
        <v>196</v>
      </c>
      <c r="C6" s="15">
        <v>31.7</v>
      </c>
      <c r="D6" s="15">
        <v>98.6</v>
      </c>
      <c r="E6" s="15">
        <v>0.55000000000000004</v>
      </c>
      <c r="F6" s="15">
        <v>0.5</v>
      </c>
      <c r="G6" s="15">
        <v>4</v>
      </c>
      <c r="H6" s="15"/>
    </row>
    <row r="7" spans="1:8" x14ac:dyDescent="0.45">
      <c r="A7" s="16" t="s">
        <v>14</v>
      </c>
      <c r="B7" s="17">
        <v>203</v>
      </c>
      <c r="C7" s="17">
        <v>18.899999999999999</v>
      </c>
      <c r="D7" s="17">
        <v>107.2</v>
      </c>
      <c r="E7" s="17">
        <v>0.87</v>
      </c>
      <c r="F7" s="17">
        <v>0.83</v>
      </c>
      <c r="G7" s="17">
        <v>8</v>
      </c>
      <c r="H7" s="17"/>
    </row>
    <row r="8" spans="1:8" x14ac:dyDescent="0.45">
      <c r="A8" s="14" t="s">
        <v>15</v>
      </c>
      <c r="B8" s="15">
        <v>178</v>
      </c>
      <c r="C8" s="15">
        <v>28.3</v>
      </c>
      <c r="D8" s="15">
        <v>99.1</v>
      </c>
      <c r="E8" s="15">
        <v>0.56999999999999995</v>
      </c>
      <c r="F8" s="15">
        <v>0.54</v>
      </c>
      <c r="G8" s="15">
        <v>5</v>
      </c>
      <c r="H8" s="15"/>
    </row>
    <row r="9" spans="1:8" x14ac:dyDescent="0.45">
      <c r="A9" s="16" t="s">
        <v>16</v>
      </c>
      <c r="B9" s="17">
        <v>221</v>
      </c>
      <c r="C9" s="17">
        <v>11.6</v>
      </c>
      <c r="D9" s="17">
        <v>109.4</v>
      </c>
      <c r="E9" s="17">
        <v>0.96</v>
      </c>
      <c r="F9" s="17">
        <v>0.89</v>
      </c>
      <c r="G9" s="17">
        <v>9</v>
      </c>
      <c r="H9" s="17"/>
    </row>
    <row r="10" spans="1:8" x14ac:dyDescent="0.45">
      <c r="A10" s="14" t="s">
        <v>17</v>
      </c>
      <c r="B10" s="15">
        <v>192</v>
      </c>
      <c r="C10" s="15">
        <v>25</v>
      </c>
      <c r="D10" s="15">
        <v>101.8</v>
      </c>
      <c r="E10" s="15">
        <v>0.63</v>
      </c>
      <c r="F10" s="15">
        <v>0.56999999999999995</v>
      </c>
      <c r="G10" s="15">
        <v>6</v>
      </c>
      <c r="H10" s="15"/>
    </row>
    <row r="11" spans="1:8" x14ac:dyDescent="0.45">
      <c r="A11" s="16" t="s">
        <v>18</v>
      </c>
      <c r="B11" s="17">
        <v>168</v>
      </c>
      <c r="C11" s="17">
        <v>34.200000000000003</v>
      </c>
      <c r="D11" s="17">
        <v>96.7</v>
      </c>
      <c r="E11" s="17">
        <v>0.5</v>
      </c>
      <c r="F11" s="17">
        <v>0.45</v>
      </c>
      <c r="G11" s="17">
        <v>4</v>
      </c>
      <c r="H11" s="17"/>
    </row>
    <row r="12" spans="1:8" x14ac:dyDescent="0.45">
      <c r="A12" s="14" t="s">
        <v>20</v>
      </c>
      <c r="B12" s="15">
        <v>245</v>
      </c>
      <c r="C12" s="15">
        <v>9.3000000000000007</v>
      </c>
      <c r="D12" s="15">
        <v>111.3</v>
      </c>
      <c r="E12" s="15">
        <v>1.08</v>
      </c>
      <c r="F12" s="15">
        <v>1.04</v>
      </c>
      <c r="G12" s="15">
        <v>10</v>
      </c>
      <c r="H12" s="15"/>
    </row>
    <row r="13" spans="1:8" x14ac:dyDescent="0.45">
      <c r="A13" s="16" t="s">
        <v>21</v>
      </c>
      <c r="B13" s="17">
        <v>183</v>
      </c>
      <c r="C13" s="17">
        <v>27.8</v>
      </c>
      <c r="D13" s="17">
        <v>100.4</v>
      </c>
      <c r="E13" s="17">
        <v>0.61</v>
      </c>
      <c r="F13" s="17">
        <v>0.57999999999999996</v>
      </c>
      <c r="G13" s="17">
        <v>5</v>
      </c>
      <c r="H13" s="17" t="s">
        <v>54</v>
      </c>
    </row>
    <row r="14" spans="1:8" x14ac:dyDescent="0.45">
      <c r="A14" s="14" t="s">
        <v>22</v>
      </c>
      <c r="B14" s="15">
        <v>210</v>
      </c>
      <c r="C14" s="15">
        <v>16.5</v>
      </c>
      <c r="D14" s="15">
        <v>106.1</v>
      </c>
      <c r="E14" s="15">
        <v>0.82</v>
      </c>
      <c r="F14" s="15">
        <v>0.75</v>
      </c>
      <c r="G14" s="15">
        <v>7</v>
      </c>
      <c r="H14" s="15"/>
    </row>
    <row r="15" spans="1:8" x14ac:dyDescent="0.45">
      <c r="A15" s="16" t="s">
        <v>23</v>
      </c>
      <c r="B15" s="17">
        <v>199</v>
      </c>
      <c r="C15" s="17">
        <v>23.1</v>
      </c>
      <c r="D15" s="17">
        <v>103.5</v>
      </c>
      <c r="E15" s="17">
        <v>0.69</v>
      </c>
      <c r="F15" s="17">
        <v>0.63</v>
      </c>
      <c r="G15" s="17">
        <v>6</v>
      </c>
      <c r="H15" s="17"/>
    </row>
    <row r="16" spans="1:8" x14ac:dyDescent="0.45">
      <c r="A16" s="14" t="s">
        <v>24</v>
      </c>
      <c r="B16" s="15">
        <v>175</v>
      </c>
      <c r="C16" s="15">
        <v>30.6</v>
      </c>
      <c r="D16" s="15">
        <v>97.9</v>
      </c>
      <c r="E16" s="15">
        <v>0.53</v>
      </c>
      <c r="F16" s="15">
        <v>0.48</v>
      </c>
      <c r="G16" s="15">
        <v>4</v>
      </c>
      <c r="H16" s="15"/>
    </row>
    <row r="17" spans="1:8" x14ac:dyDescent="0.45">
      <c r="A17" s="16" t="s">
        <v>25</v>
      </c>
      <c r="B17" s="17">
        <v>228</v>
      </c>
      <c r="C17" s="17">
        <v>12.8</v>
      </c>
      <c r="D17" s="17">
        <v>108.7</v>
      </c>
      <c r="E17" s="17">
        <v>0.93</v>
      </c>
      <c r="F17" s="17">
        <v>0.89</v>
      </c>
      <c r="G17" s="17">
        <v>8</v>
      </c>
      <c r="H17" s="17"/>
    </row>
    <row r="18" spans="1:8" x14ac:dyDescent="0.45">
      <c r="A18" s="14" t="s">
        <v>26</v>
      </c>
      <c r="B18" s="15">
        <v>191</v>
      </c>
      <c r="C18" s="15">
        <v>24.4</v>
      </c>
      <c r="D18" s="15">
        <v>102</v>
      </c>
      <c r="E18" s="15">
        <v>0.65</v>
      </c>
      <c r="F18" s="15">
        <v>0.62</v>
      </c>
      <c r="G18" s="15">
        <v>6</v>
      </c>
      <c r="H18" s="15"/>
    </row>
    <row r="19" spans="1:8" x14ac:dyDescent="0.45">
      <c r="A19" s="16" t="s">
        <v>27</v>
      </c>
      <c r="B19" s="17">
        <v>207</v>
      </c>
      <c r="C19" s="17">
        <v>19.7</v>
      </c>
      <c r="D19" s="17">
        <v>104.9</v>
      </c>
      <c r="E19" s="17">
        <v>0.76</v>
      </c>
      <c r="F19" s="17">
        <v>0.69</v>
      </c>
      <c r="G19" s="17">
        <v>7</v>
      </c>
      <c r="H19" s="17"/>
    </row>
    <row r="20" spans="1:8" x14ac:dyDescent="0.45">
      <c r="A20" s="14" t="s">
        <v>28</v>
      </c>
      <c r="B20" s="15">
        <v>163</v>
      </c>
      <c r="C20" s="15">
        <v>37.1</v>
      </c>
      <c r="D20" s="15">
        <v>94.8</v>
      </c>
      <c r="E20" s="15">
        <v>0.5</v>
      </c>
      <c r="F20" s="15">
        <v>0.44</v>
      </c>
      <c r="G20" s="15">
        <v>4</v>
      </c>
      <c r="H20" s="15"/>
    </row>
    <row r="21" spans="1:8" x14ac:dyDescent="0.45">
      <c r="A21" s="16" t="s">
        <v>30</v>
      </c>
      <c r="B21" s="17">
        <v>236</v>
      </c>
      <c r="C21" s="17">
        <v>8.4</v>
      </c>
      <c r="D21" s="17">
        <v>112.6</v>
      </c>
      <c r="E21" s="17">
        <v>1.01</v>
      </c>
      <c r="F21" s="17">
        <v>0.96</v>
      </c>
      <c r="G21" s="17">
        <v>9</v>
      </c>
      <c r="H21" s="17"/>
    </row>
    <row r="22" spans="1:8" x14ac:dyDescent="0.45">
      <c r="A22" s="14" t="s">
        <v>31</v>
      </c>
      <c r="B22" s="15">
        <v>188</v>
      </c>
      <c r="C22" s="15">
        <v>26.2</v>
      </c>
      <c r="D22" s="15">
        <v>101.1</v>
      </c>
      <c r="E22" s="15">
        <v>0.59</v>
      </c>
      <c r="F22" s="15">
        <v>0.55000000000000004</v>
      </c>
      <c r="G22" s="15">
        <v>5</v>
      </c>
      <c r="H22" s="15"/>
    </row>
    <row r="23" spans="1:8" x14ac:dyDescent="0.45">
      <c r="A23" s="16" t="s">
        <v>32</v>
      </c>
      <c r="B23" s="17">
        <v>215</v>
      </c>
      <c r="C23" s="17">
        <v>15.3</v>
      </c>
      <c r="D23" s="17">
        <v>106.8</v>
      </c>
      <c r="E23" s="17">
        <v>0.85</v>
      </c>
      <c r="F23" s="17">
        <v>0.82</v>
      </c>
      <c r="G23" s="17">
        <v>8</v>
      </c>
      <c r="H23" s="17"/>
    </row>
    <row r="24" spans="1:8" x14ac:dyDescent="0.45">
      <c r="A24" s="14" t="s">
        <v>33</v>
      </c>
      <c r="B24" s="15">
        <v>172</v>
      </c>
      <c r="C24" s="15">
        <v>32.9</v>
      </c>
      <c r="D24" s="15">
        <v>97.3</v>
      </c>
      <c r="E24" s="15">
        <v>0.52</v>
      </c>
      <c r="F24" s="15">
        <v>0.45</v>
      </c>
      <c r="G24" s="15">
        <v>4</v>
      </c>
      <c r="H24" s="15"/>
    </row>
    <row r="25" spans="1:8" x14ac:dyDescent="0.45">
      <c r="A25" s="16" t="s">
        <v>34</v>
      </c>
      <c r="B25" s="17">
        <v>204</v>
      </c>
      <c r="C25" s="17">
        <v>20.5</v>
      </c>
      <c r="D25" s="17">
        <v>104.2</v>
      </c>
      <c r="E25" s="17">
        <v>0.74</v>
      </c>
      <c r="F25" s="17">
        <v>0.68</v>
      </c>
      <c r="G25" s="17">
        <v>7</v>
      </c>
      <c r="H25" s="17"/>
    </row>
    <row r="26" spans="1:8" x14ac:dyDescent="0.45">
      <c r="A26" s="14" t="s">
        <v>35</v>
      </c>
      <c r="B26" s="15">
        <v>193</v>
      </c>
      <c r="C26" s="15">
        <v>23.8</v>
      </c>
      <c r="D26" s="15">
        <v>102.7</v>
      </c>
      <c r="E26" s="15">
        <v>0.67</v>
      </c>
      <c r="F26" s="15">
        <v>0.62</v>
      </c>
      <c r="G26" s="15">
        <v>6</v>
      </c>
      <c r="H26" s="15"/>
    </row>
    <row r="27" spans="1:8" x14ac:dyDescent="0.45">
      <c r="A27" s="16" t="s">
        <v>36</v>
      </c>
      <c r="B27" s="17">
        <v>219</v>
      </c>
      <c r="C27" s="17">
        <v>13.4</v>
      </c>
      <c r="D27" s="17">
        <v>107.9</v>
      </c>
      <c r="E27" s="17">
        <v>0.9</v>
      </c>
      <c r="F27" s="17">
        <v>0.86</v>
      </c>
      <c r="G27" s="17">
        <v>8</v>
      </c>
      <c r="H27" s="17"/>
    </row>
    <row r="28" spans="1:8" x14ac:dyDescent="0.45">
      <c r="A28" s="14" t="s">
        <v>37</v>
      </c>
      <c r="B28" s="15">
        <v>181</v>
      </c>
      <c r="C28" s="15">
        <v>29.1</v>
      </c>
      <c r="D28" s="15">
        <v>100</v>
      </c>
      <c r="E28" s="15">
        <v>0.6</v>
      </c>
      <c r="F28" s="15">
        <v>0.56999999999999995</v>
      </c>
      <c r="G28" s="15">
        <v>5</v>
      </c>
      <c r="H28" s="15"/>
    </row>
    <row r="29" spans="1:8" x14ac:dyDescent="0.45">
      <c r="A29" s="16" t="s">
        <v>38</v>
      </c>
      <c r="B29" s="17">
        <v>247</v>
      </c>
      <c r="C29" s="17">
        <v>7.9</v>
      </c>
      <c r="D29" s="17">
        <v>113.1</v>
      </c>
      <c r="E29" s="17">
        <v>1.1100000000000001</v>
      </c>
      <c r="F29" s="17">
        <v>1.04</v>
      </c>
      <c r="G29" s="17">
        <v>10</v>
      </c>
      <c r="H29" s="17"/>
    </row>
    <row r="30" spans="1:8" x14ac:dyDescent="0.45">
      <c r="A30" s="14" t="s">
        <v>39</v>
      </c>
      <c r="B30" s="15">
        <v>176</v>
      </c>
      <c r="C30" s="15">
        <v>31.3</v>
      </c>
      <c r="D30" s="15">
        <v>98.2</v>
      </c>
      <c r="E30" s="15">
        <v>0.55000000000000004</v>
      </c>
      <c r="F30" s="15">
        <v>0.49</v>
      </c>
      <c r="G30" s="15">
        <v>4</v>
      </c>
      <c r="H30" s="15"/>
    </row>
    <row r="31" spans="1:8" x14ac:dyDescent="0.45">
      <c r="A31" s="16" t="s">
        <v>40</v>
      </c>
      <c r="B31" s="17">
        <v>208</v>
      </c>
      <c r="C31" s="17">
        <v>17.600000000000001</v>
      </c>
      <c r="D31" s="17">
        <v>105.4</v>
      </c>
      <c r="E31" s="17">
        <v>0.8</v>
      </c>
      <c r="F31" s="17">
        <v>0.75</v>
      </c>
      <c r="G31" s="17">
        <v>7</v>
      </c>
      <c r="H31" s="17" t="s">
        <v>55</v>
      </c>
    </row>
    <row r="32" spans="1:8" x14ac:dyDescent="0.45">
      <c r="A32" s="14" t="s">
        <v>41</v>
      </c>
      <c r="B32" s="15">
        <v>195</v>
      </c>
      <c r="C32" s="15">
        <v>24.7</v>
      </c>
      <c r="D32" s="15">
        <v>103.1</v>
      </c>
      <c r="E32" s="15">
        <v>0.68</v>
      </c>
      <c r="F32" s="15">
        <v>0.64</v>
      </c>
      <c r="G32" s="15">
        <v>6</v>
      </c>
      <c r="H32" s="15"/>
    </row>
    <row r="33" spans="1:8" x14ac:dyDescent="0.45">
      <c r="A33" s="16" t="s">
        <v>42</v>
      </c>
      <c r="B33" s="17">
        <v>232</v>
      </c>
      <c r="C33" s="17">
        <v>10.199999999999999</v>
      </c>
      <c r="D33" s="17">
        <v>110.5</v>
      </c>
      <c r="E33" s="17">
        <v>0.98</v>
      </c>
      <c r="F33" s="17">
        <v>0.95</v>
      </c>
      <c r="G33" s="17">
        <v>9</v>
      </c>
      <c r="H33" s="17"/>
    </row>
    <row r="34" spans="1:8" x14ac:dyDescent="0.45">
      <c r="A34" s="14" t="s">
        <v>43</v>
      </c>
      <c r="B34" s="15">
        <v>185</v>
      </c>
      <c r="C34" s="15">
        <v>27</v>
      </c>
      <c r="D34" s="15">
        <v>101.5</v>
      </c>
      <c r="E34" s="15">
        <v>0.62</v>
      </c>
      <c r="F34" s="15">
        <v>0.55000000000000004</v>
      </c>
      <c r="G34" s="15">
        <v>5</v>
      </c>
      <c r="H34" s="15"/>
    </row>
    <row r="35" spans="1:8" x14ac:dyDescent="0.45">
      <c r="A35" s="18" t="s">
        <v>45</v>
      </c>
      <c r="B35" s="11"/>
      <c r="C35" s="11"/>
      <c r="D35" s="11"/>
      <c r="E35" s="19">
        <f>AVERAGE(E4:E34)</f>
        <v>0.73290322580645173</v>
      </c>
      <c r="F35" s="19">
        <f>AVERAGE(F4:F34)</f>
        <v>0.68225806451612903</v>
      </c>
    </row>
  </sheetData>
  <mergeCells count="3">
    <mergeCell ref="A1:H1"/>
    <mergeCell ref="A2:H2"/>
    <mergeCell ref="A35:D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54CB-FC60-4FFC-9DCE-80DEA6741667}">
  <dimension ref="A1:K53"/>
  <sheetViews>
    <sheetView tabSelected="1" workbookViewId="0">
      <selection activeCell="N18" sqref="N18"/>
    </sheetView>
  </sheetViews>
  <sheetFormatPr defaultRowHeight="14.25" x14ac:dyDescent="0.45"/>
  <sheetData>
    <row r="1" spans="1:11" ht="15" x14ac:dyDescent="0.45">
      <c r="A1" s="10" t="s">
        <v>56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45">
      <c r="A2" s="20" t="s">
        <v>57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45">
      <c r="A3" s="13" t="s">
        <v>2</v>
      </c>
      <c r="B3" s="13" t="s">
        <v>58</v>
      </c>
      <c r="C3" s="13" t="s">
        <v>3</v>
      </c>
      <c r="D3" s="13" t="s">
        <v>4</v>
      </c>
      <c r="E3" s="13" t="s">
        <v>5</v>
      </c>
      <c r="F3" s="13" t="s">
        <v>59</v>
      </c>
      <c r="G3" s="13" t="s">
        <v>60</v>
      </c>
      <c r="H3" s="13" t="s">
        <v>61</v>
      </c>
      <c r="I3" s="13" t="s">
        <v>62</v>
      </c>
      <c r="J3" s="13" t="s">
        <v>63</v>
      </c>
      <c r="K3" s="13" t="s">
        <v>9</v>
      </c>
    </row>
    <row r="4" spans="1:11" x14ac:dyDescent="0.45">
      <c r="A4" s="14" t="s">
        <v>10</v>
      </c>
      <c r="B4" s="14" t="s">
        <v>64</v>
      </c>
      <c r="C4" s="15">
        <v>187</v>
      </c>
      <c r="D4" s="15">
        <v>22.4</v>
      </c>
      <c r="E4" s="15">
        <v>102.3</v>
      </c>
      <c r="F4" s="15">
        <v>5.7</v>
      </c>
      <c r="G4" s="15">
        <v>0.64</v>
      </c>
      <c r="H4" s="15">
        <v>80</v>
      </c>
      <c r="I4" s="15">
        <v>76</v>
      </c>
      <c r="J4" s="15" t="s">
        <v>65</v>
      </c>
      <c r="K4" s="14"/>
    </row>
    <row r="5" spans="1:11" x14ac:dyDescent="0.45">
      <c r="A5" s="16" t="s">
        <v>11</v>
      </c>
      <c r="B5" s="16" t="s">
        <v>64</v>
      </c>
      <c r="C5" s="17">
        <v>214</v>
      </c>
      <c r="D5" s="17">
        <v>14.1</v>
      </c>
      <c r="E5" s="17">
        <v>105.8</v>
      </c>
      <c r="F5" s="17">
        <v>5.8</v>
      </c>
      <c r="G5" s="17">
        <v>0.75</v>
      </c>
      <c r="H5" s="17">
        <v>86</v>
      </c>
      <c r="I5" s="17">
        <v>81</v>
      </c>
      <c r="J5" s="17" t="s">
        <v>65</v>
      </c>
      <c r="K5" s="16"/>
    </row>
    <row r="6" spans="1:11" x14ac:dyDescent="0.45">
      <c r="A6" s="14" t="s">
        <v>12</v>
      </c>
      <c r="B6" s="14" t="s">
        <v>64</v>
      </c>
      <c r="C6" s="15">
        <v>196</v>
      </c>
      <c r="D6" s="15">
        <v>31.7</v>
      </c>
      <c r="E6" s="15">
        <v>98.6</v>
      </c>
      <c r="F6" s="15">
        <v>5.7</v>
      </c>
      <c r="G6" s="15">
        <v>0.52</v>
      </c>
      <c r="H6" s="15">
        <v>77</v>
      </c>
      <c r="I6" s="15">
        <v>73</v>
      </c>
      <c r="J6" s="15" t="s">
        <v>65</v>
      </c>
      <c r="K6" s="14"/>
    </row>
    <row r="7" spans="1:11" x14ac:dyDescent="0.45">
      <c r="A7" s="16" t="s">
        <v>14</v>
      </c>
      <c r="B7" s="16" t="s">
        <v>64</v>
      </c>
      <c r="C7" s="17">
        <v>203</v>
      </c>
      <c r="D7" s="17">
        <v>18.899999999999999</v>
      </c>
      <c r="E7" s="17">
        <v>107.2</v>
      </c>
      <c r="F7" s="17">
        <v>6</v>
      </c>
      <c r="G7" s="17">
        <v>0.84</v>
      </c>
      <c r="H7" s="17">
        <v>91</v>
      </c>
      <c r="I7" s="17">
        <v>86</v>
      </c>
      <c r="J7" s="17" t="s">
        <v>65</v>
      </c>
      <c r="K7" s="16"/>
    </row>
    <row r="8" spans="1:11" x14ac:dyDescent="0.45">
      <c r="A8" s="14" t="s">
        <v>15</v>
      </c>
      <c r="B8" s="14" t="s">
        <v>64</v>
      </c>
      <c r="C8" s="15">
        <v>178</v>
      </c>
      <c r="D8" s="15">
        <v>28.3</v>
      </c>
      <c r="E8" s="15">
        <v>99.1</v>
      </c>
      <c r="F8" s="15">
        <v>5.6</v>
      </c>
      <c r="G8" s="15">
        <v>0.55000000000000004</v>
      </c>
      <c r="H8" s="15">
        <v>81</v>
      </c>
      <c r="I8" s="15">
        <v>76</v>
      </c>
      <c r="J8" s="15" t="s">
        <v>65</v>
      </c>
      <c r="K8" s="14"/>
    </row>
    <row r="9" spans="1:11" x14ac:dyDescent="0.45">
      <c r="A9" s="16" t="s">
        <v>16</v>
      </c>
      <c r="B9" s="16" t="s">
        <v>64</v>
      </c>
      <c r="C9" s="17">
        <v>221</v>
      </c>
      <c r="D9" s="17">
        <v>11.6</v>
      </c>
      <c r="E9" s="17">
        <v>109.4</v>
      </c>
      <c r="F9" s="17">
        <v>6</v>
      </c>
      <c r="G9" s="17">
        <v>0.93</v>
      </c>
      <c r="H9" s="17">
        <v>95</v>
      </c>
      <c r="I9" s="17">
        <v>87</v>
      </c>
      <c r="J9" s="17" t="s">
        <v>65</v>
      </c>
      <c r="K9" s="16"/>
    </row>
    <row r="10" spans="1:11" x14ac:dyDescent="0.45">
      <c r="A10" s="14" t="s">
        <v>17</v>
      </c>
      <c r="B10" s="14" t="s">
        <v>64</v>
      </c>
      <c r="C10" s="15">
        <v>192</v>
      </c>
      <c r="D10" s="15">
        <v>25</v>
      </c>
      <c r="E10" s="15">
        <v>101.8</v>
      </c>
      <c r="F10" s="15">
        <v>5.7</v>
      </c>
      <c r="G10" s="15">
        <v>0.61</v>
      </c>
      <c r="H10" s="15">
        <v>85</v>
      </c>
      <c r="I10" s="15">
        <v>76</v>
      </c>
      <c r="J10" s="15" t="s">
        <v>65</v>
      </c>
      <c r="K10" s="14"/>
    </row>
    <row r="11" spans="1:11" x14ac:dyDescent="0.45">
      <c r="A11" s="16" t="s">
        <v>18</v>
      </c>
      <c r="B11" s="16" t="s">
        <v>64</v>
      </c>
      <c r="C11" s="17">
        <v>168</v>
      </c>
      <c r="D11" s="17">
        <v>34.200000000000003</v>
      </c>
      <c r="E11" s="17">
        <v>96.7</v>
      </c>
      <c r="F11" s="17">
        <v>5.7</v>
      </c>
      <c r="G11" s="17">
        <v>0.47</v>
      </c>
      <c r="H11" s="17">
        <v>73</v>
      </c>
      <c r="I11" s="17">
        <v>71</v>
      </c>
      <c r="J11" s="17" t="s">
        <v>65</v>
      </c>
      <c r="K11" s="16"/>
    </row>
    <row r="12" spans="1:11" x14ac:dyDescent="0.45">
      <c r="A12" s="14" t="s">
        <v>20</v>
      </c>
      <c r="B12" s="14" t="s">
        <v>64</v>
      </c>
      <c r="C12" s="15">
        <v>245</v>
      </c>
      <c r="D12" s="15">
        <v>9.3000000000000007</v>
      </c>
      <c r="E12" s="15">
        <v>111.3</v>
      </c>
      <c r="F12" s="15">
        <v>6.1</v>
      </c>
      <c r="G12" s="15">
        <v>1.06</v>
      </c>
      <c r="H12" s="15">
        <v>95</v>
      </c>
      <c r="I12" s="15">
        <v>91</v>
      </c>
      <c r="J12" s="15" t="s">
        <v>65</v>
      </c>
      <c r="K12" s="14"/>
    </row>
    <row r="13" spans="1:11" x14ac:dyDescent="0.45">
      <c r="A13" s="16" t="s">
        <v>21</v>
      </c>
      <c r="B13" s="16" t="s">
        <v>64</v>
      </c>
      <c r="C13" s="17">
        <v>183</v>
      </c>
      <c r="D13" s="17">
        <v>27.8</v>
      </c>
      <c r="E13" s="17">
        <v>100.4</v>
      </c>
      <c r="F13" s="17">
        <v>5.7</v>
      </c>
      <c r="G13" s="17">
        <v>0.59</v>
      </c>
      <c r="H13" s="17">
        <v>80</v>
      </c>
      <c r="I13" s="17">
        <v>78</v>
      </c>
      <c r="J13" s="17" t="s">
        <v>65</v>
      </c>
      <c r="K13" s="16"/>
    </row>
    <row r="14" spans="1:11" x14ac:dyDescent="0.45">
      <c r="A14" s="14" t="s">
        <v>22</v>
      </c>
      <c r="B14" s="14" t="s">
        <v>64</v>
      </c>
      <c r="C14" s="15">
        <v>210</v>
      </c>
      <c r="D14" s="15">
        <v>16.5</v>
      </c>
      <c r="E14" s="15">
        <v>106.1</v>
      </c>
      <c r="F14" s="15">
        <v>5.9</v>
      </c>
      <c r="G14" s="15">
        <v>0.79</v>
      </c>
      <c r="H14" s="15">
        <v>89</v>
      </c>
      <c r="I14" s="15">
        <v>82</v>
      </c>
      <c r="J14" s="15" t="s">
        <v>65</v>
      </c>
      <c r="K14" s="14"/>
    </row>
    <row r="15" spans="1:11" x14ac:dyDescent="0.45">
      <c r="A15" s="16" t="s">
        <v>23</v>
      </c>
      <c r="B15" s="16" t="s">
        <v>64</v>
      </c>
      <c r="C15" s="17">
        <v>199</v>
      </c>
      <c r="D15" s="17">
        <v>23.1</v>
      </c>
      <c r="E15" s="17">
        <v>103.5</v>
      </c>
      <c r="F15" s="17">
        <v>5.8</v>
      </c>
      <c r="G15" s="17">
        <v>0.66</v>
      </c>
      <c r="H15" s="17">
        <v>85</v>
      </c>
      <c r="I15" s="17">
        <v>78</v>
      </c>
      <c r="J15" s="17" t="s">
        <v>65</v>
      </c>
      <c r="K15" s="16"/>
    </row>
    <row r="16" spans="1:11" x14ac:dyDescent="0.45">
      <c r="A16" s="14" t="s">
        <v>24</v>
      </c>
      <c r="B16" s="14" t="s">
        <v>64</v>
      </c>
      <c r="C16" s="15">
        <v>175</v>
      </c>
      <c r="D16" s="15">
        <v>30.6</v>
      </c>
      <c r="E16" s="15">
        <v>97.9</v>
      </c>
      <c r="F16" s="15">
        <v>5.6</v>
      </c>
      <c r="G16" s="15">
        <v>0.51</v>
      </c>
      <c r="H16" s="15">
        <v>80</v>
      </c>
      <c r="I16" s="15">
        <v>73</v>
      </c>
      <c r="J16" s="15" t="s">
        <v>65</v>
      </c>
      <c r="K16" s="14"/>
    </row>
    <row r="17" spans="1:11" x14ac:dyDescent="0.45">
      <c r="A17" s="16" t="s">
        <v>25</v>
      </c>
      <c r="B17" s="16" t="s">
        <v>64</v>
      </c>
      <c r="C17" s="17">
        <v>228</v>
      </c>
      <c r="D17" s="17">
        <v>12.8</v>
      </c>
      <c r="E17" s="17">
        <v>108.7</v>
      </c>
      <c r="F17" s="17">
        <v>6</v>
      </c>
      <c r="G17" s="17">
        <v>0.9</v>
      </c>
      <c r="H17" s="17">
        <v>95</v>
      </c>
      <c r="I17" s="17">
        <v>89</v>
      </c>
      <c r="J17" s="17" t="s">
        <v>65</v>
      </c>
      <c r="K17" s="16"/>
    </row>
    <row r="18" spans="1:11" x14ac:dyDescent="0.45">
      <c r="A18" s="14" t="s">
        <v>26</v>
      </c>
      <c r="B18" s="14" t="s">
        <v>64</v>
      </c>
      <c r="C18" s="15">
        <v>191</v>
      </c>
      <c r="D18" s="15">
        <v>24.4</v>
      </c>
      <c r="E18" s="15">
        <v>102</v>
      </c>
      <c r="F18" s="15">
        <v>5.8</v>
      </c>
      <c r="G18" s="15">
        <v>0.62</v>
      </c>
      <c r="H18" s="15">
        <v>79</v>
      </c>
      <c r="I18" s="15">
        <v>79</v>
      </c>
      <c r="J18" s="15" t="s">
        <v>65</v>
      </c>
      <c r="K18" s="14"/>
    </row>
    <row r="19" spans="1:11" x14ac:dyDescent="0.45">
      <c r="A19" s="16" t="s">
        <v>27</v>
      </c>
      <c r="B19" s="16" t="s">
        <v>64</v>
      </c>
      <c r="C19" s="17">
        <v>207</v>
      </c>
      <c r="D19" s="17">
        <v>19.7</v>
      </c>
      <c r="E19" s="17">
        <v>104.9</v>
      </c>
      <c r="F19" s="17">
        <v>5.9</v>
      </c>
      <c r="G19" s="17">
        <v>0.73</v>
      </c>
      <c r="H19" s="17">
        <v>85</v>
      </c>
      <c r="I19" s="17">
        <v>79</v>
      </c>
      <c r="J19" s="17" t="s">
        <v>65</v>
      </c>
      <c r="K19" s="16"/>
    </row>
    <row r="20" spans="1:11" x14ac:dyDescent="0.45">
      <c r="A20" s="14" t="s">
        <v>28</v>
      </c>
      <c r="B20" s="14" t="s">
        <v>64</v>
      </c>
      <c r="C20" s="15">
        <v>163</v>
      </c>
      <c r="D20" s="15">
        <v>37.1</v>
      </c>
      <c r="E20" s="15">
        <v>94.8</v>
      </c>
      <c r="F20" s="15">
        <v>5.5</v>
      </c>
      <c r="G20" s="15">
        <v>0.48</v>
      </c>
      <c r="H20" s="15">
        <v>76</v>
      </c>
      <c r="I20" s="15">
        <v>71</v>
      </c>
      <c r="J20" s="15" t="s">
        <v>65</v>
      </c>
      <c r="K20" s="14"/>
    </row>
    <row r="21" spans="1:11" x14ac:dyDescent="0.45">
      <c r="A21" s="16" t="s">
        <v>30</v>
      </c>
      <c r="B21" s="16" t="s">
        <v>64</v>
      </c>
      <c r="C21" s="17">
        <v>236</v>
      </c>
      <c r="D21" s="17">
        <v>8.4</v>
      </c>
      <c r="E21" s="17">
        <v>112.6</v>
      </c>
      <c r="F21" s="17">
        <v>6</v>
      </c>
      <c r="G21" s="17">
        <v>0.99</v>
      </c>
      <c r="H21" s="17">
        <v>95</v>
      </c>
      <c r="I21" s="17">
        <v>91</v>
      </c>
      <c r="J21" s="17" t="s">
        <v>65</v>
      </c>
      <c r="K21" s="16"/>
    </row>
    <row r="22" spans="1:11" x14ac:dyDescent="0.45">
      <c r="A22" s="14" t="s">
        <v>31</v>
      </c>
      <c r="B22" s="14" t="s">
        <v>64</v>
      </c>
      <c r="C22" s="15">
        <v>188</v>
      </c>
      <c r="D22" s="15">
        <v>26.2</v>
      </c>
      <c r="E22" s="15">
        <v>101.1</v>
      </c>
      <c r="F22" s="15">
        <v>5.7</v>
      </c>
      <c r="G22" s="15">
        <v>0.56999999999999995</v>
      </c>
      <c r="H22" s="15">
        <v>81</v>
      </c>
      <c r="I22" s="15">
        <v>76</v>
      </c>
      <c r="J22" s="15" t="s">
        <v>65</v>
      </c>
      <c r="K22" s="14"/>
    </row>
    <row r="23" spans="1:11" x14ac:dyDescent="0.45">
      <c r="A23" s="16" t="s">
        <v>32</v>
      </c>
      <c r="B23" s="16" t="s">
        <v>64</v>
      </c>
      <c r="C23" s="17">
        <v>215</v>
      </c>
      <c r="D23" s="17">
        <v>15.3</v>
      </c>
      <c r="E23" s="17">
        <v>106.8</v>
      </c>
      <c r="F23" s="17">
        <v>6</v>
      </c>
      <c r="G23" s="17">
        <v>0.82</v>
      </c>
      <c r="H23" s="17">
        <v>92</v>
      </c>
      <c r="I23" s="17">
        <v>87</v>
      </c>
      <c r="J23" s="17" t="s">
        <v>65</v>
      </c>
      <c r="K23" s="16"/>
    </row>
    <row r="24" spans="1:11" x14ac:dyDescent="0.45">
      <c r="A24" s="14" t="s">
        <v>33</v>
      </c>
      <c r="B24" s="14" t="s">
        <v>64</v>
      </c>
      <c r="C24" s="15">
        <v>172</v>
      </c>
      <c r="D24" s="15">
        <v>32.9</v>
      </c>
      <c r="E24" s="15">
        <v>97.3</v>
      </c>
      <c r="F24" s="15">
        <v>5.5</v>
      </c>
      <c r="G24" s="15">
        <v>0.5</v>
      </c>
      <c r="H24" s="15">
        <v>81</v>
      </c>
      <c r="I24" s="15">
        <v>71</v>
      </c>
      <c r="J24" s="15" t="s">
        <v>65</v>
      </c>
      <c r="K24" s="14"/>
    </row>
    <row r="25" spans="1:11" x14ac:dyDescent="0.45">
      <c r="A25" s="16" t="s">
        <v>34</v>
      </c>
      <c r="B25" s="16" t="s">
        <v>64</v>
      </c>
      <c r="C25" s="17">
        <v>204</v>
      </c>
      <c r="D25" s="17">
        <v>20.5</v>
      </c>
      <c r="E25" s="17">
        <v>104.2</v>
      </c>
      <c r="F25" s="17">
        <v>5.8</v>
      </c>
      <c r="G25" s="17">
        <v>0.71</v>
      </c>
      <c r="H25" s="17">
        <v>83</v>
      </c>
      <c r="I25" s="17">
        <v>79</v>
      </c>
      <c r="J25" s="17" t="s">
        <v>65</v>
      </c>
      <c r="K25" s="16"/>
    </row>
    <row r="26" spans="1:11" x14ac:dyDescent="0.45">
      <c r="A26" s="14" t="s">
        <v>35</v>
      </c>
      <c r="B26" s="14" t="s">
        <v>64</v>
      </c>
      <c r="C26" s="15">
        <v>193</v>
      </c>
      <c r="D26" s="15">
        <v>23.8</v>
      </c>
      <c r="E26" s="15">
        <v>102.7</v>
      </c>
      <c r="F26" s="15">
        <v>5.8</v>
      </c>
      <c r="G26" s="15">
        <v>0.64</v>
      </c>
      <c r="H26" s="15">
        <v>81</v>
      </c>
      <c r="I26" s="15">
        <v>78</v>
      </c>
      <c r="J26" s="15" t="s">
        <v>65</v>
      </c>
      <c r="K26" s="14"/>
    </row>
    <row r="27" spans="1:11" x14ac:dyDescent="0.45">
      <c r="A27" s="16" t="s">
        <v>36</v>
      </c>
      <c r="B27" s="16" t="s">
        <v>64</v>
      </c>
      <c r="C27" s="17">
        <v>219</v>
      </c>
      <c r="D27" s="17">
        <v>13.4</v>
      </c>
      <c r="E27" s="17">
        <v>107.9</v>
      </c>
      <c r="F27" s="17">
        <v>6</v>
      </c>
      <c r="G27" s="17">
        <v>0.87</v>
      </c>
      <c r="H27" s="17">
        <v>91</v>
      </c>
      <c r="I27" s="17">
        <v>88</v>
      </c>
      <c r="J27" s="17" t="s">
        <v>65</v>
      </c>
      <c r="K27" s="16"/>
    </row>
    <row r="28" spans="1:11" x14ac:dyDescent="0.45">
      <c r="A28" s="14" t="s">
        <v>37</v>
      </c>
      <c r="B28" s="14" t="s">
        <v>64</v>
      </c>
      <c r="C28" s="15">
        <v>181</v>
      </c>
      <c r="D28" s="15">
        <v>29.1</v>
      </c>
      <c r="E28" s="15">
        <v>100</v>
      </c>
      <c r="F28" s="15">
        <v>5.6</v>
      </c>
      <c r="G28" s="15">
        <v>0.57999999999999996</v>
      </c>
      <c r="H28" s="15">
        <v>81</v>
      </c>
      <c r="I28" s="15">
        <v>78</v>
      </c>
      <c r="J28" s="15" t="s">
        <v>65</v>
      </c>
      <c r="K28" s="14"/>
    </row>
    <row r="29" spans="1:11" x14ac:dyDescent="0.45">
      <c r="A29" s="16" t="s">
        <v>38</v>
      </c>
      <c r="B29" s="16" t="s">
        <v>64</v>
      </c>
      <c r="C29" s="17">
        <v>247</v>
      </c>
      <c r="D29" s="17">
        <v>7.9</v>
      </c>
      <c r="E29" s="17">
        <v>113.1</v>
      </c>
      <c r="F29" s="17">
        <v>6.1</v>
      </c>
      <c r="G29" s="17">
        <v>1.0900000000000001</v>
      </c>
      <c r="H29" s="17">
        <v>95</v>
      </c>
      <c r="I29" s="17">
        <v>91</v>
      </c>
      <c r="J29" s="17" t="s">
        <v>65</v>
      </c>
      <c r="K29" s="16"/>
    </row>
    <row r="30" spans="1:11" x14ac:dyDescent="0.45">
      <c r="A30" s="14" t="s">
        <v>39</v>
      </c>
      <c r="B30" s="14" t="s">
        <v>64</v>
      </c>
      <c r="C30" s="15">
        <v>176</v>
      </c>
      <c r="D30" s="15">
        <v>31.3</v>
      </c>
      <c r="E30" s="15">
        <v>98.2</v>
      </c>
      <c r="F30" s="15">
        <v>5.7</v>
      </c>
      <c r="G30" s="15">
        <v>0.52</v>
      </c>
      <c r="H30" s="15">
        <v>80</v>
      </c>
      <c r="I30" s="15">
        <v>72</v>
      </c>
      <c r="J30" s="15" t="s">
        <v>65</v>
      </c>
      <c r="K30" s="14"/>
    </row>
    <row r="31" spans="1:11" x14ac:dyDescent="0.45">
      <c r="A31" s="16" t="s">
        <v>40</v>
      </c>
      <c r="B31" s="16" t="s">
        <v>64</v>
      </c>
      <c r="C31" s="17">
        <v>208</v>
      </c>
      <c r="D31" s="17">
        <v>17.600000000000001</v>
      </c>
      <c r="E31" s="17">
        <v>105.4</v>
      </c>
      <c r="F31" s="17">
        <v>5.9</v>
      </c>
      <c r="G31" s="17">
        <v>0.77</v>
      </c>
      <c r="H31" s="17">
        <v>91</v>
      </c>
      <c r="I31" s="17">
        <v>83</v>
      </c>
      <c r="J31" s="17" t="s">
        <v>65</v>
      </c>
      <c r="K31" s="16"/>
    </row>
    <row r="32" spans="1:11" x14ac:dyDescent="0.45">
      <c r="A32" s="14" t="s">
        <v>41</v>
      </c>
      <c r="B32" s="14" t="s">
        <v>64</v>
      </c>
      <c r="C32" s="15">
        <v>195</v>
      </c>
      <c r="D32" s="15">
        <v>24.7</v>
      </c>
      <c r="E32" s="15">
        <v>103.1</v>
      </c>
      <c r="F32" s="15">
        <v>5.7</v>
      </c>
      <c r="G32" s="15">
        <v>0.65</v>
      </c>
      <c r="H32" s="15">
        <v>81</v>
      </c>
      <c r="I32" s="15">
        <v>79</v>
      </c>
      <c r="J32" s="15" t="s">
        <v>65</v>
      </c>
      <c r="K32" s="14"/>
    </row>
    <row r="33" spans="1:11" x14ac:dyDescent="0.45">
      <c r="A33" s="16" t="s">
        <v>42</v>
      </c>
      <c r="B33" s="16" t="s">
        <v>64</v>
      </c>
      <c r="C33" s="17">
        <v>232</v>
      </c>
      <c r="D33" s="17">
        <v>10.199999999999999</v>
      </c>
      <c r="E33" s="17">
        <v>110.5</v>
      </c>
      <c r="F33" s="17">
        <v>6</v>
      </c>
      <c r="G33" s="17">
        <v>0.95</v>
      </c>
      <c r="H33" s="17">
        <v>94</v>
      </c>
      <c r="I33" s="17">
        <v>91</v>
      </c>
      <c r="J33" s="17" t="s">
        <v>65</v>
      </c>
      <c r="K33" s="16"/>
    </row>
    <row r="34" spans="1:11" x14ac:dyDescent="0.45">
      <c r="A34" s="14" t="s">
        <v>43</v>
      </c>
      <c r="B34" s="14" t="s">
        <v>64</v>
      </c>
      <c r="C34" s="15">
        <v>185</v>
      </c>
      <c r="D34" s="15">
        <v>27</v>
      </c>
      <c r="E34" s="15">
        <v>101.5</v>
      </c>
      <c r="F34" s="15">
        <v>5.7</v>
      </c>
      <c r="G34" s="15">
        <v>0.6</v>
      </c>
      <c r="H34" s="15">
        <v>81</v>
      </c>
      <c r="I34" s="15">
        <v>74</v>
      </c>
      <c r="J34" s="15" t="s">
        <v>65</v>
      </c>
      <c r="K34" s="14"/>
    </row>
    <row r="35" spans="1:11" x14ac:dyDescent="0.45">
      <c r="A35" s="21" t="s">
        <v>66</v>
      </c>
      <c r="B35" s="21" t="s">
        <v>67</v>
      </c>
      <c r="C35" s="22">
        <v>172</v>
      </c>
      <c r="D35" s="22">
        <v>38.6</v>
      </c>
      <c r="E35" s="22">
        <v>96.2</v>
      </c>
      <c r="F35" s="22">
        <v>4.3</v>
      </c>
      <c r="G35" s="22">
        <v>-0.18</v>
      </c>
      <c r="H35" s="22">
        <v>42</v>
      </c>
      <c r="I35" s="22">
        <v>38</v>
      </c>
      <c r="J35" s="23" t="s">
        <v>68</v>
      </c>
      <c r="K35" s="21" t="s">
        <v>69</v>
      </c>
    </row>
    <row r="36" spans="1:11" x14ac:dyDescent="0.45">
      <c r="A36" s="24" t="s">
        <v>70</v>
      </c>
      <c r="B36" s="24" t="s">
        <v>71</v>
      </c>
      <c r="C36" s="25">
        <v>198</v>
      </c>
      <c r="D36" s="25">
        <v>33.1</v>
      </c>
      <c r="E36" s="25">
        <v>98.4</v>
      </c>
      <c r="F36" s="25">
        <v>4.7</v>
      </c>
      <c r="G36" s="25">
        <v>-0.08</v>
      </c>
      <c r="H36" s="25">
        <v>46</v>
      </c>
      <c r="I36" s="25">
        <v>44</v>
      </c>
      <c r="J36" s="23" t="s">
        <v>68</v>
      </c>
      <c r="K36" s="24" t="s">
        <v>72</v>
      </c>
    </row>
    <row r="37" spans="1:11" x14ac:dyDescent="0.45">
      <c r="A37" s="21" t="s">
        <v>73</v>
      </c>
      <c r="B37" s="21" t="s">
        <v>74</v>
      </c>
      <c r="C37" s="22">
        <v>163</v>
      </c>
      <c r="D37" s="22">
        <v>41.2</v>
      </c>
      <c r="E37" s="22">
        <v>94.7</v>
      </c>
      <c r="F37" s="22">
        <v>4.0999999999999996</v>
      </c>
      <c r="G37" s="22">
        <v>-0.31</v>
      </c>
      <c r="H37" s="22">
        <v>38</v>
      </c>
      <c r="I37" s="22">
        <v>31</v>
      </c>
      <c r="J37" s="23" t="s">
        <v>68</v>
      </c>
      <c r="K37" s="21" t="s">
        <v>75</v>
      </c>
    </row>
    <row r="38" spans="1:11" x14ac:dyDescent="0.45">
      <c r="A38" s="24" t="s">
        <v>76</v>
      </c>
      <c r="B38" s="24" t="s">
        <v>67</v>
      </c>
      <c r="C38" s="25">
        <v>185</v>
      </c>
      <c r="D38" s="25">
        <v>29.8</v>
      </c>
      <c r="E38" s="25">
        <v>99.1</v>
      </c>
      <c r="F38" s="25">
        <v>4.9000000000000004</v>
      </c>
      <c r="G38" s="25">
        <v>0.04</v>
      </c>
      <c r="H38" s="25">
        <v>48</v>
      </c>
      <c r="I38" s="25">
        <v>47</v>
      </c>
      <c r="J38" s="23" t="s">
        <v>68</v>
      </c>
      <c r="K38" s="24" t="s">
        <v>77</v>
      </c>
    </row>
    <row r="39" spans="1:11" x14ac:dyDescent="0.45">
      <c r="A39" s="21" t="s">
        <v>78</v>
      </c>
      <c r="B39" s="21" t="s">
        <v>71</v>
      </c>
      <c r="C39" s="22">
        <v>207</v>
      </c>
      <c r="D39" s="22">
        <v>35.4</v>
      </c>
      <c r="E39" s="22">
        <v>97.3</v>
      </c>
      <c r="F39" s="22">
        <v>4.5</v>
      </c>
      <c r="G39" s="22">
        <v>-0.22</v>
      </c>
      <c r="H39" s="22">
        <v>41</v>
      </c>
      <c r="I39" s="22">
        <v>36</v>
      </c>
      <c r="J39" s="23" t="s">
        <v>68</v>
      </c>
      <c r="K39" s="21" t="s">
        <v>79</v>
      </c>
    </row>
    <row r="40" spans="1:11" x14ac:dyDescent="0.45">
      <c r="A40" s="24" t="s">
        <v>80</v>
      </c>
      <c r="B40" s="24" t="s">
        <v>81</v>
      </c>
      <c r="C40" s="25">
        <v>176</v>
      </c>
      <c r="D40" s="25">
        <v>27.3</v>
      </c>
      <c r="E40" s="25">
        <v>100.2</v>
      </c>
      <c r="F40" s="25">
        <v>5</v>
      </c>
      <c r="G40" s="25">
        <v>0.1</v>
      </c>
      <c r="H40" s="25">
        <v>45</v>
      </c>
      <c r="I40" s="25">
        <v>43</v>
      </c>
      <c r="J40" s="23" t="s">
        <v>68</v>
      </c>
      <c r="K40" s="24" t="s">
        <v>82</v>
      </c>
    </row>
    <row r="41" spans="1:11" x14ac:dyDescent="0.45">
      <c r="A41" s="21" t="s">
        <v>83</v>
      </c>
      <c r="B41" s="21" t="s">
        <v>74</v>
      </c>
      <c r="C41" s="22">
        <v>219</v>
      </c>
      <c r="D41" s="22">
        <v>31.9</v>
      </c>
      <c r="E41" s="22">
        <v>98.8</v>
      </c>
      <c r="F41" s="22">
        <v>4.5999999999999996</v>
      </c>
      <c r="G41" s="22">
        <v>-0.13</v>
      </c>
      <c r="H41" s="22">
        <v>44</v>
      </c>
      <c r="I41" s="22">
        <v>40</v>
      </c>
      <c r="J41" s="23" t="s">
        <v>68</v>
      </c>
      <c r="K41" s="21" t="s">
        <v>84</v>
      </c>
    </row>
    <row r="42" spans="1:11" x14ac:dyDescent="0.45">
      <c r="A42" s="24" t="s">
        <v>85</v>
      </c>
      <c r="B42" s="24" t="s">
        <v>67</v>
      </c>
      <c r="C42" s="25">
        <v>158</v>
      </c>
      <c r="D42" s="25">
        <v>44.7</v>
      </c>
      <c r="E42" s="25">
        <v>92.5</v>
      </c>
      <c r="F42" s="25">
        <v>3.9</v>
      </c>
      <c r="G42" s="25">
        <v>-0.41</v>
      </c>
      <c r="H42" s="25">
        <v>33</v>
      </c>
      <c r="I42" s="25">
        <v>27</v>
      </c>
      <c r="J42" s="23" t="s">
        <v>68</v>
      </c>
      <c r="K42" s="24" t="s">
        <v>86</v>
      </c>
    </row>
    <row r="43" spans="1:11" x14ac:dyDescent="0.45">
      <c r="A43" s="21" t="s">
        <v>87</v>
      </c>
      <c r="B43" s="21" t="s">
        <v>71</v>
      </c>
      <c r="C43" s="22">
        <v>194</v>
      </c>
      <c r="D43" s="22">
        <v>36.200000000000003</v>
      </c>
      <c r="E43" s="22">
        <v>96.9</v>
      </c>
      <c r="F43" s="22">
        <v>4.4000000000000004</v>
      </c>
      <c r="G43" s="22">
        <v>-0.25</v>
      </c>
      <c r="H43" s="22">
        <v>39</v>
      </c>
      <c r="I43" s="22">
        <v>34</v>
      </c>
      <c r="J43" s="23" t="s">
        <v>68</v>
      </c>
      <c r="K43" s="21" t="s">
        <v>88</v>
      </c>
    </row>
    <row r="44" spans="1:11" x14ac:dyDescent="0.45">
      <c r="A44" s="24" t="s">
        <v>89</v>
      </c>
      <c r="B44" s="24" t="s">
        <v>81</v>
      </c>
      <c r="C44" s="25">
        <v>211</v>
      </c>
      <c r="D44" s="25">
        <v>22.8</v>
      </c>
      <c r="E44" s="25">
        <v>102.1</v>
      </c>
      <c r="F44" s="25">
        <v>5.0999999999999996</v>
      </c>
      <c r="G44" s="25">
        <v>7.0000000000000007E-2</v>
      </c>
      <c r="H44" s="25">
        <v>47</v>
      </c>
      <c r="I44" s="25">
        <v>45</v>
      </c>
      <c r="J44" s="23" t="s">
        <v>68</v>
      </c>
      <c r="K44" s="24" t="s">
        <v>90</v>
      </c>
    </row>
    <row r="45" spans="1:11" x14ac:dyDescent="0.45">
      <c r="A45" s="21" t="s">
        <v>91</v>
      </c>
      <c r="B45" s="21" t="s">
        <v>67</v>
      </c>
      <c r="C45" s="22">
        <v>183</v>
      </c>
      <c r="D45" s="22">
        <v>38.9</v>
      </c>
      <c r="E45" s="22">
        <v>95.8</v>
      </c>
      <c r="F45" s="22">
        <v>4.2</v>
      </c>
      <c r="G45" s="22">
        <v>-0.28999999999999998</v>
      </c>
      <c r="H45" s="22">
        <v>36</v>
      </c>
      <c r="I45" s="22">
        <v>30</v>
      </c>
      <c r="J45" s="23" t="s">
        <v>68</v>
      </c>
      <c r="K45" s="21" t="s">
        <v>92</v>
      </c>
    </row>
    <row r="46" spans="1:11" x14ac:dyDescent="0.45">
      <c r="A46" s="24" t="s">
        <v>93</v>
      </c>
      <c r="B46" s="24" t="s">
        <v>74</v>
      </c>
      <c r="C46" s="25">
        <v>201</v>
      </c>
      <c r="D46" s="25">
        <v>25.4</v>
      </c>
      <c r="E46" s="25">
        <v>101.3</v>
      </c>
      <c r="F46" s="25">
        <v>4.8</v>
      </c>
      <c r="G46" s="25">
        <v>-0.03</v>
      </c>
      <c r="H46" s="25">
        <v>49</v>
      </c>
      <c r="I46" s="25">
        <v>46</v>
      </c>
      <c r="J46" s="23" t="s">
        <v>68</v>
      </c>
      <c r="K46" s="24" t="s">
        <v>94</v>
      </c>
    </row>
    <row r="47" spans="1:11" x14ac:dyDescent="0.45">
      <c r="A47" s="21" t="s">
        <v>95</v>
      </c>
      <c r="B47" s="21" t="s">
        <v>71</v>
      </c>
      <c r="C47" s="22">
        <v>169</v>
      </c>
      <c r="D47" s="22">
        <v>40.1</v>
      </c>
      <c r="E47" s="22">
        <v>94.4</v>
      </c>
      <c r="F47" s="22">
        <v>4</v>
      </c>
      <c r="G47" s="22">
        <v>-0.35</v>
      </c>
      <c r="H47" s="22">
        <v>35</v>
      </c>
      <c r="I47" s="22">
        <v>29</v>
      </c>
      <c r="J47" s="23" t="s">
        <v>68</v>
      </c>
      <c r="K47" s="21" t="s">
        <v>96</v>
      </c>
    </row>
    <row r="48" spans="1:11" x14ac:dyDescent="0.45">
      <c r="A48" s="24" t="s">
        <v>97</v>
      </c>
      <c r="B48" s="24" t="s">
        <v>81</v>
      </c>
      <c r="C48" s="25">
        <v>226</v>
      </c>
      <c r="D48" s="25">
        <v>18.7</v>
      </c>
      <c r="E48" s="25">
        <v>104.6</v>
      </c>
      <c r="F48" s="25">
        <v>5.2</v>
      </c>
      <c r="G48" s="25">
        <v>0.13</v>
      </c>
      <c r="H48" s="25">
        <v>48</v>
      </c>
      <c r="I48" s="25">
        <v>48</v>
      </c>
      <c r="J48" s="23" t="s">
        <v>68</v>
      </c>
      <c r="K48" s="24" t="s">
        <v>98</v>
      </c>
    </row>
    <row r="49" spans="1:11" x14ac:dyDescent="0.45">
      <c r="A49" s="21" t="s">
        <v>99</v>
      </c>
      <c r="B49" s="21" t="s">
        <v>67</v>
      </c>
      <c r="C49" s="22">
        <v>179</v>
      </c>
      <c r="D49" s="22">
        <v>33.799999999999997</v>
      </c>
      <c r="E49" s="22">
        <v>97.6</v>
      </c>
      <c r="F49" s="22">
        <v>4.5999999999999996</v>
      </c>
      <c r="G49" s="22">
        <v>-0.16</v>
      </c>
      <c r="H49" s="22">
        <v>43</v>
      </c>
      <c r="I49" s="22">
        <v>39</v>
      </c>
      <c r="J49" s="23" t="s">
        <v>68</v>
      </c>
      <c r="K49" s="21" t="s">
        <v>100</v>
      </c>
    </row>
    <row r="50" spans="1:11" x14ac:dyDescent="0.45">
      <c r="A50" s="24" t="s">
        <v>101</v>
      </c>
      <c r="B50" s="24" t="s">
        <v>74</v>
      </c>
      <c r="C50" s="25">
        <v>191</v>
      </c>
      <c r="D50" s="25">
        <v>30.5</v>
      </c>
      <c r="E50" s="25">
        <v>99.7</v>
      </c>
      <c r="F50" s="25">
        <v>4.9000000000000004</v>
      </c>
      <c r="G50" s="25">
        <v>0.02</v>
      </c>
      <c r="H50" s="25">
        <v>46</v>
      </c>
      <c r="I50" s="25">
        <v>44</v>
      </c>
      <c r="J50" s="23" t="s">
        <v>68</v>
      </c>
      <c r="K50" s="24" t="s">
        <v>102</v>
      </c>
    </row>
    <row r="51" spans="1:11" x14ac:dyDescent="0.45">
      <c r="A51" s="26" t="s">
        <v>103</v>
      </c>
      <c r="B51" s="27"/>
      <c r="C51" s="27"/>
      <c r="D51" s="27"/>
      <c r="E51" s="28"/>
      <c r="F51" s="29">
        <v>5.81</v>
      </c>
      <c r="G51" s="29">
        <v>0.71</v>
      </c>
      <c r="H51" s="29"/>
      <c r="I51" s="29"/>
      <c r="J51" s="29"/>
      <c r="K51" s="29"/>
    </row>
    <row r="52" spans="1:11" x14ac:dyDescent="0.45">
      <c r="A52" s="30" t="s">
        <v>104</v>
      </c>
      <c r="B52" s="27"/>
      <c r="C52" s="27"/>
      <c r="D52" s="27"/>
      <c r="E52" s="28"/>
      <c r="F52" s="31">
        <v>4.58</v>
      </c>
      <c r="G52" s="31">
        <v>-0.13</v>
      </c>
      <c r="H52" s="31"/>
      <c r="I52" s="31"/>
      <c r="J52" s="31"/>
      <c r="K52" s="31"/>
    </row>
    <row r="53" spans="1:11" x14ac:dyDescent="0.45">
      <c r="A53" s="32" t="s">
        <v>105</v>
      </c>
      <c r="B53" s="27"/>
      <c r="C53" s="27"/>
      <c r="D53" s="27"/>
      <c r="E53" s="28"/>
      <c r="F53" s="33">
        <v>5.39</v>
      </c>
      <c r="G53" s="33">
        <v>0.42</v>
      </c>
      <c r="H53" s="33"/>
      <c r="I53" s="33"/>
      <c r="J53" s="33"/>
      <c r="K53" s="33"/>
    </row>
  </sheetData>
  <mergeCells count="5">
    <mergeCell ref="A1:K1"/>
    <mergeCell ref="A2:K2"/>
    <mergeCell ref="A51:E51"/>
    <mergeCell ref="A52:E52"/>
    <mergeCell ref="A53:E5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efd2e8e-492d-42d4-90fb-d08326d3ddca}" enabled="0" method="" siteId="{aefd2e8e-492d-42d4-90fb-d08326d3ddc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MPI_Harrowfield_2022</vt:lpstr>
      <vt:lpstr>MPI_Harrowfield_2023</vt:lpstr>
      <vt:lpstr>MPI_Harrowfield_2024</vt:lpstr>
      <vt:lpstr>MPI_v2_archive_2023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Tom</dc:creator>
  <cp:lastModifiedBy>Jiang, Tom</cp:lastModifiedBy>
  <dcterms:created xsi:type="dcterms:W3CDTF">2015-06-05T18:17:20Z</dcterms:created>
  <dcterms:modified xsi:type="dcterms:W3CDTF">2026-04-20T15:17:51Z</dcterms:modified>
</cp:coreProperties>
</file>